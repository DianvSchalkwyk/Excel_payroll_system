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v\OneDrive\Documents\GitHub\Excel_payroll_system\"/>
    </mc:Choice>
  </mc:AlternateContent>
  <xr:revisionPtr revIDLastSave="0" documentId="13_ncr:1_{EC72CF79-44B4-4DAC-8236-5048CC7BE2EC}" xr6:coauthVersionLast="47" xr6:coauthVersionMax="47" xr10:uidLastSave="{00000000-0000-0000-0000-000000000000}"/>
  <bookViews>
    <workbookView xWindow="-120" yWindow="-120" windowWidth="29040" windowHeight="15720" tabRatio="830" xr2:uid="{E17B631F-2F4A-4B1B-9E57-F3C6A4A7F67C}"/>
  </bookViews>
  <sheets>
    <sheet name="Employees" sheetId="7" r:id="rId1"/>
    <sheet name="Employee hours" sheetId="10" r:id="rId2"/>
    <sheet name="Employee debt" sheetId="11" r:id="rId3"/>
    <sheet name="Day workers" sheetId="13" r:id="rId4"/>
    <sheet name="Day worker hours" sheetId="12" r:id="rId5"/>
    <sheet name="Pebble day workers" sheetId="16" r:id="rId6"/>
    <sheet name="Pebble day worker hours" sheetId="17" r:id="rId7"/>
    <sheet name="Data" sheetId="9" r:id="rId8"/>
    <sheet name="Employee vaccines" sheetId="18" r:id="rId9"/>
  </sheets>
  <definedNames>
    <definedName name="Employer_list_NR">Employer_list[Employer]</definedName>
    <definedName name="Job_designation_list_NR">Job_designation_list[Job designation]</definedName>
    <definedName name="Month_list_NR">Month_list[Month]</definedName>
    <definedName name="Nationality_list_NR">Nationality_list[Nationality]</definedName>
    <definedName name="Payment_type_NR">Payment_type_list[Payment type]</definedName>
    <definedName name="_xlnm.Print_Area" localSheetId="0">Employees!$A$5:$M$48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3" i="17" l="1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D5" i="7"/>
  <c r="D4" i="7"/>
  <c r="D3" i="7"/>
  <c r="CW6" i="10" a="1"/>
  <c r="CW6" i="10" s="1"/>
  <c r="CX6" i="10" a="1"/>
  <c r="CX6" i="10" s="1"/>
  <c r="CY6" i="10" a="1"/>
  <c r="CY6" i="10" s="1"/>
  <c r="CZ6" i="10" a="1"/>
  <c r="CZ6" i="10" s="1"/>
  <c r="DA6" i="10" a="1"/>
  <c r="DA6" i="10" s="1"/>
  <c r="CW7" i="10" a="1"/>
  <c r="CW7" i="10" s="1"/>
  <c r="CX7" i="10" a="1"/>
  <c r="CX7" i="10" s="1"/>
  <c r="CY7" i="10" a="1"/>
  <c r="CY7" i="10" s="1"/>
  <c r="CZ7" i="10" a="1"/>
  <c r="CZ7" i="10" s="1"/>
  <c r="DA7" i="10" a="1"/>
  <c r="DA7" i="10" s="1"/>
  <c r="CW8" i="10" a="1"/>
  <c r="CW8" i="10" s="1"/>
  <c r="CX8" i="10" a="1"/>
  <c r="CX8" i="10" s="1"/>
  <c r="CY8" i="10" a="1"/>
  <c r="CY8" i="10" s="1"/>
  <c r="CZ8" i="10" a="1"/>
  <c r="CZ8" i="10" s="1"/>
  <c r="DA8" i="10" a="1"/>
  <c r="DA8" i="10" s="1"/>
  <c r="CW9" i="10" a="1"/>
  <c r="CW9" i="10" s="1"/>
  <c r="CX9" i="10" a="1"/>
  <c r="CX9" i="10" s="1"/>
  <c r="CY9" i="10" a="1"/>
  <c r="CY9" i="10" s="1"/>
  <c r="CZ9" i="10" a="1"/>
  <c r="CZ9" i="10" s="1"/>
  <c r="DA9" i="10" a="1"/>
  <c r="DA9" i="10" s="1"/>
  <c r="CW10" i="10" a="1"/>
  <c r="CW10" i="10" s="1"/>
  <c r="CX10" i="10" a="1"/>
  <c r="CX10" i="10" s="1"/>
  <c r="CY10" i="10" a="1"/>
  <c r="CY10" i="10" s="1"/>
  <c r="CZ10" i="10" a="1"/>
  <c r="CZ10" i="10" s="1"/>
  <c r="DA10" i="10" a="1"/>
  <c r="DA10" i="10" s="1"/>
  <c r="CW11" i="10" a="1"/>
  <c r="CW11" i="10" s="1"/>
  <c r="CX11" i="10" a="1"/>
  <c r="CX11" i="10" s="1"/>
  <c r="CY11" i="10" a="1"/>
  <c r="CY11" i="10" s="1"/>
  <c r="CZ11" i="10" a="1"/>
  <c r="CZ11" i="10" s="1"/>
  <c r="DA11" i="10" a="1"/>
  <c r="DA11" i="10" s="1"/>
  <c r="CW12" i="10" a="1"/>
  <c r="CW12" i="10" s="1"/>
  <c r="CX12" i="10" a="1"/>
  <c r="CX12" i="10" s="1"/>
  <c r="CY12" i="10" a="1"/>
  <c r="CY12" i="10" s="1"/>
  <c r="CZ12" i="10" a="1"/>
  <c r="CZ12" i="10" s="1"/>
  <c r="DA12" i="10" a="1"/>
  <c r="DA12" i="10" s="1"/>
  <c r="CW13" i="10" a="1"/>
  <c r="CW13" i="10" s="1"/>
  <c r="CX13" i="10" a="1"/>
  <c r="CX13" i="10" s="1"/>
  <c r="CY13" i="10" a="1"/>
  <c r="CY13" i="10" s="1"/>
  <c r="CZ13" i="10" a="1"/>
  <c r="CZ13" i="10" s="1"/>
  <c r="DA13" i="10" a="1"/>
  <c r="DA13" i="10" s="1"/>
  <c r="CW14" i="10" a="1"/>
  <c r="CW14" i="10" s="1"/>
  <c r="CX14" i="10" a="1"/>
  <c r="CX14" i="10" s="1"/>
  <c r="CY14" i="10" a="1"/>
  <c r="CY14" i="10" s="1"/>
  <c r="CZ14" i="10" a="1"/>
  <c r="CZ14" i="10" s="1"/>
  <c r="DA14" i="10" a="1"/>
  <c r="DA14" i="10" s="1"/>
  <c r="CW15" i="10" a="1"/>
  <c r="CW15" i="10" s="1"/>
  <c r="CX15" i="10" a="1"/>
  <c r="CX15" i="10" s="1"/>
  <c r="CY15" i="10" a="1"/>
  <c r="CY15" i="10" s="1"/>
  <c r="CZ15" i="10" a="1"/>
  <c r="CZ15" i="10" s="1"/>
  <c r="DA15" i="10" a="1"/>
  <c r="DA15" i="10" s="1"/>
  <c r="CW16" i="10" a="1"/>
  <c r="CW16" i="10" s="1"/>
  <c r="CX16" i="10" a="1"/>
  <c r="CX16" i="10" s="1"/>
  <c r="CY16" i="10" a="1"/>
  <c r="CY16" i="10" s="1"/>
  <c r="CZ16" i="10" a="1"/>
  <c r="CZ16" i="10" s="1"/>
  <c r="DA16" i="10" a="1"/>
  <c r="DA16" i="10" s="1"/>
  <c r="CW17" i="10" a="1"/>
  <c r="CW17" i="10" s="1"/>
  <c r="CX17" i="10" a="1"/>
  <c r="CX17" i="10" s="1"/>
  <c r="CY17" i="10" a="1"/>
  <c r="CY17" i="10" s="1"/>
  <c r="CZ17" i="10" a="1"/>
  <c r="CZ17" i="10" s="1"/>
  <c r="DA17" i="10" a="1"/>
  <c r="DA17" i="10" s="1"/>
  <c r="CW18" i="10" a="1"/>
  <c r="CW18" i="10" s="1"/>
  <c r="CX18" i="10" a="1"/>
  <c r="CX18" i="10" s="1"/>
  <c r="CY18" i="10" a="1"/>
  <c r="CY18" i="10" s="1"/>
  <c r="CZ18" i="10" a="1"/>
  <c r="CZ18" i="10" s="1"/>
  <c r="DA18" i="10" a="1"/>
  <c r="DA18" i="10" s="1"/>
  <c r="CW19" i="10" a="1"/>
  <c r="CW19" i="10" s="1"/>
  <c r="CX19" i="10" a="1"/>
  <c r="CX19" i="10" s="1"/>
  <c r="CY19" i="10" a="1"/>
  <c r="CY19" i="10" s="1"/>
  <c r="CZ19" i="10" a="1"/>
  <c r="CZ19" i="10" s="1"/>
  <c r="DA19" i="10" a="1"/>
  <c r="DA19" i="10" s="1"/>
  <c r="CW20" i="10" a="1"/>
  <c r="CW20" i="10" s="1"/>
  <c r="CX20" i="10" a="1"/>
  <c r="CX20" i="10" s="1"/>
  <c r="CY20" i="10" a="1"/>
  <c r="CY20" i="10" s="1"/>
  <c r="CZ20" i="10" a="1"/>
  <c r="CZ20" i="10" s="1"/>
  <c r="DA20" i="10" a="1"/>
  <c r="DA20" i="10" s="1"/>
  <c r="CW21" i="10" a="1"/>
  <c r="CW21" i="10" s="1"/>
  <c r="CX21" i="10" a="1"/>
  <c r="CX21" i="10" s="1"/>
  <c r="CY21" i="10" a="1"/>
  <c r="CY21" i="10" s="1"/>
  <c r="CZ21" i="10" a="1"/>
  <c r="CZ21" i="10" s="1"/>
  <c r="DA21" i="10" a="1"/>
  <c r="DA21" i="10" s="1"/>
  <c r="CW22" i="10" a="1"/>
  <c r="CW22" i="10" s="1"/>
  <c r="CX22" i="10" a="1"/>
  <c r="CX22" i="10" s="1"/>
  <c r="CY22" i="10" a="1"/>
  <c r="CY22" i="10" s="1"/>
  <c r="CZ22" i="10" a="1"/>
  <c r="CZ22" i="10" s="1"/>
  <c r="DA22" i="10" a="1"/>
  <c r="DA22" i="10" s="1"/>
  <c r="CW23" i="10" a="1"/>
  <c r="CW23" i="10" s="1"/>
  <c r="CX23" i="10" a="1"/>
  <c r="CX23" i="10" s="1"/>
  <c r="CY23" i="10" a="1"/>
  <c r="CY23" i="10" s="1"/>
  <c r="CZ23" i="10" a="1"/>
  <c r="CZ23" i="10" s="1"/>
  <c r="DA23" i="10" a="1"/>
  <c r="DA23" i="10" s="1"/>
  <c r="CW24" i="10" a="1"/>
  <c r="CW24" i="10" s="1"/>
  <c r="CX24" i="10" a="1"/>
  <c r="CX24" i="10" s="1"/>
  <c r="CY24" i="10" a="1"/>
  <c r="CY24" i="10" s="1"/>
  <c r="CZ24" i="10" a="1"/>
  <c r="CZ24" i="10" s="1"/>
  <c r="DA24" i="10" a="1"/>
  <c r="DA24" i="10" s="1"/>
  <c r="CW25" i="10" a="1"/>
  <c r="CW25" i="10" s="1"/>
  <c r="CX25" i="10" a="1"/>
  <c r="CX25" i="10" s="1"/>
  <c r="CY25" i="10" a="1"/>
  <c r="CY25" i="10" s="1"/>
  <c r="CZ25" i="10" a="1"/>
  <c r="CZ25" i="10" s="1"/>
  <c r="DA25" i="10" a="1"/>
  <c r="DA25" i="10" s="1"/>
  <c r="CW26" i="10" a="1"/>
  <c r="CW26" i="10" s="1"/>
  <c r="CX26" i="10" a="1"/>
  <c r="CX26" i="10" s="1"/>
  <c r="CY26" i="10" a="1"/>
  <c r="CY26" i="10" s="1"/>
  <c r="CZ26" i="10" a="1"/>
  <c r="CZ26" i="10" s="1"/>
  <c r="DA26" i="10" a="1"/>
  <c r="DA26" i="10" s="1"/>
  <c r="CW27" i="10" a="1"/>
  <c r="CW27" i="10" s="1"/>
  <c r="CX27" i="10" a="1"/>
  <c r="CX27" i="10" s="1"/>
  <c r="CY27" i="10" a="1"/>
  <c r="CY27" i="10" s="1"/>
  <c r="CZ27" i="10" a="1"/>
  <c r="CZ27" i="10" s="1"/>
  <c r="DA27" i="10" a="1"/>
  <c r="DA27" i="10" s="1"/>
  <c r="CW28" i="10" a="1"/>
  <c r="CW28" i="10" s="1"/>
  <c r="CX28" i="10" a="1"/>
  <c r="CX28" i="10" s="1"/>
  <c r="CY28" i="10" a="1"/>
  <c r="CY28" i="10" s="1"/>
  <c r="CZ28" i="10" a="1"/>
  <c r="CZ28" i="10" s="1"/>
  <c r="DA28" i="10" a="1"/>
  <c r="DA28" i="10" s="1"/>
  <c r="CW29" i="10" a="1"/>
  <c r="CW29" i="10" s="1"/>
  <c r="CX29" i="10" a="1"/>
  <c r="CX29" i="10" s="1"/>
  <c r="CY29" i="10" a="1"/>
  <c r="CY29" i="10" s="1"/>
  <c r="CZ29" i="10" a="1"/>
  <c r="CZ29" i="10" s="1"/>
  <c r="DA29" i="10" a="1"/>
  <c r="DA29" i="10" s="1"/>
  <c r="CW30" i="10" a="1"/>
  <c r="CW30" i="10" s="1"/>
  <c r="CX30" i="10" a="1"/>
  <c r="CX30" i="10" s="1"/>
  <c r="CY30" i="10" a="1"/>
  <c r="CY30" i="10" s="1"/>
  <c r="CZ30" i="10" a="1"/>
  <c r="CZ30" i="10" s="1"/>
  <c r="DA30" i="10" a="1"/>
  <c r="DA30" i="10" s="1"/>
  <c r="CW31" i="10" a="1"/>
  <c r="CW31" i="10" s="1"/>
  <c r="CX31" i="10" a="1"/>
  <c r="CX31" i="10" s="1"/>
  <c r="CY31" i="10" a="1"/>
  <c r="CY31" i="10" s="1"/>
  <c r="CZ31" i="10" a="1"/>
  <c r="CZ31" i="10" s="1"/>
  <c r="DA31" i="10" a="1"/>
  <c r="DA31" i="10" s="1"/>
  <c r="CW32" i="10" a="1"/>
  <c r="CW32" i="10" s="1"/>
  <c r="CX32" i="10" a="1"/>
  <c r="CX32" i="10" s="1"/>
  <c r="CY32" i="10" a="1"/>
  <c r="CY32" i="10" s="1"/>
  <c r="CZ32" i="10" a="1"/>
  <c r="CZ32" i="10" s="1"/>
  <c r="DA32" i="10" a="1"/>
  <c r="DA32" i="10" s="1"/>
  <c r="CW33" i="10" a="1"/>
  <c r="CW33" i="10" s="1"/>
  <c r="CX33" i="10" a="1"/>
  <c r="CX33" i="10" s="1"/>
  <c r="CY33" i="10" a="1"/>
  <c r="CY33" i="10" s="1"/>
  <c r="CZ33" i="10" a="1"/>
  <c r="CZ33" i="10" s="1"/>
  <c r="DA33" i="10" a="1"/>
  <c r="DA33" i="10" s="1"/>
  <c r="CW34" i="10" a="1"/>
  <c r="CW34" i="10" s="1"/>
  <c r="CX34" i="10" a="1"/>
  <c r="CX34" i="10" s="1"/>
  <c r="CY34" i="10" a="1"/>
  <c r="CY34" i="10" s="1"/>
  <c r="CZ34" i="10" a="1"/>
  <c r="CZ34" i="10" s="1"/>
  <c r="DA34" i="10" a="1"/>
  <c r="DA34" i="10" s="1"/>
  <c r="CW35" i="10" a="1"/>
  <c r="CW35" i="10" s="1"/>
  <c r="CX35" i="10" a="1"/>
  <c r="CX35" i="10" s="1"/>
  <c r="CY35" i="10" a="1"/>
  <c r="CY35" i="10" s="1"/>
  <c r="CZ35" i="10" a="1"/>
  <c r="CZ35" i="10" s="1"/>
  <c r="DA35" i="10" a="1"/>
  <c r="DA35" i="10" s="1"/>
  <c r="CW36" i="10" a="1"/>
  <c r="CW36" i="10" s="1"/>
  <c r="CX36" i="10" a="1"/>
  <c r="CX36" i="10" s="1"/>
  <c r="CY36" i="10" a="1"/>
  <c r="CY36" i="10" s="1"/>
  <c r="CZ36" i="10" a="1"/>
  <c r="CZ36" i="10" s="1"/>
  <c r="DA36" i="10" a="1"/>
  <c r="DA36" i="10" s="1"/>
  <c r="CW37" i="10" a="1"/>
  <c r="CW37" i="10" s="1"/>
  <c r="CX37" i="10" a="1"/>
  <c r="CX37" i="10" s="1"/>
  <c r="CY37" i="10" a="1"/>
  <c r="CY37" i="10" s="1"/>
  <c r="CZ37" i="10" a="1"/>
  <c r="CZ37" i="10" s="1"/>
  <c r="DA37" i="10" a="1"/>
  <c r="DA37" i="10" s="1"/>
  <c r="CW38" i="10" a="1"/>
  <c r="CW38" i="10" s="1"/>
  <c r="CX38" i="10" a="1"/>
  <c r="CX38" i="10" s="1"/>
  <c r="CY38" i="10" a="1"/>
  <c r="CY38" i="10" s="1"/>
  <c r="CZ38" i="10" a="1"/>
  <c r="CZ38" i="10" s="1"/>
  <c r="DA38" i="10" a="1"/>
  <c r="DA38" i="10" s="1"/>
  <c r="CW39" i="10" a="1"/>
  <c r="CW39" i="10" s="1"/>
  <c r="CX39" i="10" a="1"/>
  <c r="CX39" i="10" s="1"/>
  <c r="CY39" i="10" a="1"/>
  <c r="CY39" i="10" s="1"/>
  <c r="CZ39" i="10" a="1"/>
  <c r="CZ39" i="10" s="1"/>
  <c r="DA39" i="10" a="1"/>
  <c r="DA39" i="10" s="1"/>
  <c r="CW40" i="10" a="1"/>
  <c r="CW40" i="10" s="1"/>
  <c r="CX40" i="10" a="1"/>
  <c r="CX40" i="10" s="1"/>
  <c r="CY40" i="10" a="1"/>
  <c r="CY40" i="10" s="1"/>
  <c r="CZ40" i="10" a="1"/>
  <c r="CZ40" i="10" s="1"/>
  <c r="DA40" i="10" a="1"/>
  <c r="DA40" i="10" s="1"/>
  <c r="CW41" i="10" a="1"/>
  <c r="CW41" i="10" s="1"/>
  <c r="CX41" i="10" a="1"/>
  <c r="CX41" i="10" s="1"/>
  <c r="CY41" i="10" a="1"/>
  <c r="CY41" i="10" s="1"/>
  <c r="CZ41" i="10" a="1"/>
  <c r="CZ41" i="10" s="1"/>
  <c r="DA41" i="10" a="1"/>
  <c r="DA41" i="10" s="1"/>
  <c r="CW42" i="10" a="1"/>
  <c r="CW42" i="10" s="1"/>
  <c r="CX42" i="10" a="1"/>
  <c r="CX42" i="10" s="1"/>
  <c r="CY42" i="10" a="1"/>
  <c r="CY42" i="10" s="1"/>
  <c r="CZ42" i="10" a="1"/>
  <c r="CZ42" i="10" s="1"/>
  <c r="DA42" i="10" a="1"/>
  <c r="DA42" i="10" s="1"/>
  <c r="CW43" i="10" a="1"/>
  <c r="CW43" i="10" s="1"/>
  <c r="CX43" i="10" a="1"/>
  <c r="CX43" i="10" s="1"/>
  <c r="CY43" i="10" a="1"/>
  <c r="CY43" i="10" s="1"/>
  <c r="CZ43" i="10" a="1"/>
  <c r="CZ43" i="10" s="1"/>
  <c r="DA43" i="10" a="1"/>
  <c r="DA43" i="10" s="1"/>
  <c r="CW44" i="10" a="1"/>
  <c r="CW44" i="10" s="1"/>
  <c r="CX44" i="10" a="1"/>
  <c r="CX44" i="10" s="1"/>
  <c r="CY44" i="10" a="1"/>
  <c r="CY44" i="10" s="1"/>
  <c r="CZ44" i="10" a="1"/>
  <c r="CZ44" i="10" s="1"/>
  <c r="DA44" i="10" a="1"/>
  <c r="DA44" i="10" s="1"/>
  <c r="CW45" i="10" a="1"/>
  <c r="CW45" i="10" s="1"/>
  <c r="CX45" i="10" a="1"/>
  <c r="CX45" i="10" s="1"/>
  <c r="CY45" i="10" a="1"/>
  <c r="CY45" i="10" s="1"/>
  <c r="CZ45" i="10" a="1"/>
  <c r="CZ45" i="10" s="1"/>
  <c r="DA45" i="10" a="1"/>
  <c r="DA45" i="10" s="1"/>
  <c r="CW46" i="10" a="1"/>
  <c r="CW46" i="10" s="1"/>
  <c r="CX46" i="10" a="1"/>
  <c r="CX46" i="10" s="1"/>
  <c r="CY46" i="10" a="1"/>
  <c r="CY46" i="10" s="1"/>
  <c r="CZ46" i="10" a="1"/>
  <c r="CZ46" i="10" s="1"/>
  <c r="DA46" i="10" a="1"/>
  <c r="DA46" i="10" s="1"/>
  <c r="CW47" i="10" a="1"/>
  <c r="CW47" i="10" s="1"/>
  <c r="CX47" i="10" a="1"/>
  <c r="CX47" i="10" s="1"/>
  <c r="CY47" i="10" a="1"/>
  <c r="CY47" i="10" s="1"/>
  <c r="CZ47" i="10" a="1"/>
  <c r="CZ47" i="10" s="1"/>
  <c r="DA47" i="10" a="1"/>
  <c r="DA47" i="10" s="1"/>
  <c r="CW48" i="10" a="1"/>
  <c r="CW48" i="10" s="1"/>
  <c r="CX48" i="10" a="1"/>
  <c r="CX48" i="10" s="1"/>
  <c r="CY48" i="10" a="1"/>
  <c r="CY48" i="10" s="1"/>
  <c r="CZ48" i="10" a="1"/>
  <c r="CZ48" i="10" s="1"/>
  <c r="DA48" i="10" a="1"/>
  <c r="DA48" i="10" s="1"/>
  <c r="CW49" i="10" a="1"/>
  <c r="CW49" i="10" s="1"/>
  <c r="CX49" i="10" a="1"/>
  <c r="CX49" i="10" s="1"/>
  <c r="CY49" i="10" a="1"/>
  <c r="CY49" i="10" s="1"/>
  <c r="CZ49" i="10" a="1"/>
  <c r="CZ49" i="10" s="1"/>
  <c r="DA49" i="10" a="1"/>
  <c r="DA49" i="10" s="1"/>
  <c r="CW50" i="10" a="1"/>
  <c r="CW50" i="10" s="1"/>
  <c r="CX50" i="10" a="1"/>
  <c r="CX50" i="10" s="1"/>
  <c r="CY50" i="10" a="1"/>
  <c r="CY50" i="10" s="1"/>
  <c r="CZ50" i="10" a="1"/>
  <c r="CZ50" i="10" s="1"/>
  <c r="DA50" i="10" a="1"/>
  <c r="DA50" i="10" s="1"/>
  <c r="CW51" i="10" a="1"/>
  <c r="CW51" i="10" s="1"/>
  <c r="CX51" i="10" a="1"/>
  <c r="CX51" i="10" s="1"/>
  <c r="CY51" i="10" a="1"/>
  <c r="CY51" i="10" s="1"/>
  <c r="CZ51" i="10" a="1"/>
  <c r="CZ51" i="10" s="1"/>
  <c r="DA51" i="10" a="1"/>
  <c r="DA51" i="10" s="1"/>
  <c r="CW52" i="10" a="1"/>
  <c r="CW52" i="10" s="1"/>
  <c r="CX52" i="10" a="1"/>
  <c r="CX52" i="10" s="1"/>
  <c r="CY52" i="10" a="1"/>
  <c r="CY52" i="10" s="1"/>
  <c r="CZ52" i="10" a="1"/>
  <c r="CZ52" i="10" s="1"/>
  <c r="DA52" i="10" a="1"/>
  <c r="DA52" i="10" s="1"/>
  <c r="CW53" i="10" a="1"/>
  <c r="CW53" i="10" s="1"/>
  <c r="CX53" i="10" a="1"/>
  <c r="CX53" i="10" s="1"/>
  <c r="CY53" i="10" a="1"/>
  <c r="CY53" i="10" s="1"/>
  <c r="CZ53" i="10" a="1"/>
  <c r="CZ53" i="10" s="1"/>
  <c r="DA53" i="10" a="1"/>
  <c r="DA53" i="10" s="1"/>
  <c r="CW54" i="10" a="1"/>
  <c r="CW54" i="10" s="1"/>
  <c r="CX54" i="10" a="1"/>
  <c r="CX54" i="10" s="1"/>
  <c r="CY54" i="10" a="1"/>
  <c r="CY54" i="10" s="1"/>
  <c r="CZ54" i="10" a="1"/>
  <c r="CZ54" i="10" s="1"/>
  <c r="DA54" i="10" a="1"/>
  <c r="DA54" i="10" s="1"/>
  <c r="DA5" i="10" a="1"/>
  <c r="DA5" i="10" s="1"/>
  <c r="CZ5" i="10" a="1"/>
  <c r="CZ5" i="10" s="1"/>
  <c r="CY5" i="10" a="1"/>
  <c r="CY5" i="10" s="1"/>
  <c r="CX5" i="10" a="1"/>
  <c r="CX5" i="10" s="1"/>
  <c r="CW5" i="10" a="1"/>
  <c r="CW5" i="10" s="1"/>
  <c r="AY4" i="17"/>
  <c r="AB3" i="11"/>
  <c r="AB4" i="11"/>
  <c r="AY241" i="17"/>
  <c r="AY242" i="17"/>
  <c r="AY243" i="17"/>
  <c r="AY244" i="17"/>
  <c r="AY245" i="17"/>
  <c r="AY246" i="17"/>
  <c r="AY247" i="17"/>
  <c r="AY248" i="17"/>
  <c r="AY249" i="17"/>
  <c r="AY250" i="17"/>
  <c r="AY251" i="17"/>
  <c r="AY252" i="17"/>
  <c r="AY253" i="17"/>
  <c r="AY224" i="17"/>
  <c r="AY225" i="17"/>
  <c r="AY226" i="17"/>
  <c r="AY227" i="17"/>
  <c r="AY228" i="17"/>
  <c r="AY229" i="17"/>
  <c r="AY230" i="17"/>
  <c r="AY231" i="17"/>
  <c r="AY232" i="17"/>
  <c r="AY233" i="17"/>
  <c r="AY234" i="17"/>
  <c r="AY235" i="17"/>
  <c r="AY236" i="17"/>
  <c r="AY237" i="17"/>
  <c r="AY238" i="17"/>
  <c r="AY239" i="17"/>
  <c r="AY240" i="17"/>
  <c r="AB51" i="11"/>
  <c r="AB52" i="11"/>
  <c r="AB46" i="11"/>
  <c r="AB47" i="11"/>
  <c r="AB48" i="11"/>
  <c r="AB49" i="11"/>
  <c r="AB50" i="11"/>
  <c r="AB32" i="11" l="1"/>
  <c r="AB45" i="11"/>
  <c r="AB26" i="11"/>
  <c r="G3" i="13"/>
  <c r="CW304" i="12" a="1"/>
  <c r="CW304" i="12" s="1"/>
  <c r="CV304" i="12" a="1"/>
  <c r="CV304" i="12" s="1"/>
  <c r="CW303" i="12" a="1"/>
  <c r="CW303" i="12" s="1"/>
  <c r="CV303" i="12" a="1"/>
  <c r="CV303" i="12" s="1"/>
  <c r="CW302" i="12" a="1"/>
  <c r="CW302" i="12" s="1"/>
  <c r="CV302" i="12" a="1"/>
  <c r="CV302" i="12" s="1"/>
  <c r="CW301" i="12" a="1"/>
  <c r="CW301" i="12" s="1"/>
  <c r="CV301" i="12" a="1"/>
  <c r="CV301" i="12" s="1"/>
  <c r="CW300" i="12" a="1"/>
  <c r="CW300" i="12" s="1"/>
  <c r="CV300" i="12" a="1"/>
  <c r="CV300" i="12" s="1"/>
  <c r="CW299" i="12" a="1"/>
  <c r="CW299" i="12" s="1"/>
  <c r="CV299" i="12" a="1"/>
  <c r="CV299" i="12" s="1"/>
  <c r="CW298" i="12" a="1"/>
  <c r="CW298" i="12" s="1"/>
  <c r="CV298" i="12" a="1"/>
  <c r="CV298" i="12" s="1"/>
  <c r="CW297" i="12" a="1"/>
  <c r="CW297" i="12" s="1"/>
  <c r="CV297" i="12" a="1"/>
  <c r="CV297" i="12" s="1"/>
  <c r="CW296" i="12" a="1"/>
  <c r="CW296" i="12" s="1"/>
  <c r="CV296" i="12" a="1"/>
  <c r="CV296" i="12" s="1"/>
  <c r="CW295" i="12" a="1"/>
  <c r="CW295" i="12" s="1"/>
  <c r="CV295" i="12" a="1"/>
  <c r="CV295" i="12" s="1"/>
  <c r="CW294" i="12" a="1"/>
  <c r="CW294" i="12" s="1"/>
  <c r="CV294" i="12" a="1"/>
  <c r="CV294" i="12" s="1"/>
  <c r="CW293" i="12" a="1"/>
  <c r="CW293" i="12" s="1"/>
  <c r="CV293" i="12" a="1"/>
  <c r="CV293" i="12" s="1"/>
  <c r="CW292" i="12" a="1"/>
  <c r="CW292" i="12" s="1"/>
  <c r="CV292" i="12" a="1"/>
  <c r="CV292" i="12" s="1"/>
  <c r="CW291" i="12" a="1"/>
  <c r="CW291" i="12" s="1"/>
  <c r="CV291" i="12" a="1"/>
  <c r="CV291" i="12" s="1"/>
  <c r="CW290" i="12" a="1"/>
  <c r="CW290" i="12" s="1"/>
  <c r="CV290" i="12" a="1"/>
  <c r="CV290" i="12" s="1"/>
  <c r="CW289" i="12" a="1"/>
  <c r="CW289" i="12" s="1"/>
  <c r="CV289" i="12" a="1"/>
  <c r="CV289" i="12" s="1"/>
  <c r="CW288" i="12" a="1"/>
  <c r="CW288" i="12" s="1"/>
  <c r="CV288" i="12" a="1"/>
  <c r="CV288" i="12" s="1"/>
  <c r="CW287" i="12" a="1"/>
  <c r="CW287" i="12" s="1"/>
  <c r="CV287" i="12" a="1"/>
  <c r="CV287" i="12" s="1"/>
  <c r="CW286" i="12" a="1"/>
  <c r="CW286" i="12" s="1"/>
  <c r="CV286" i="12" a="1"/>
  <c r="CV286" i="12" s="1"/>
  <c r="CW285" i="12" a="1"/>
  <c r="CW285" i="12" s="1"/>
  <c r="CV285" i="12" a="1"/>
  <c r="CV285" i="12" s="1"/>
  <c r="CW284" i="12" a="1"/>
  <c r="CW284" i="12" s="1"/>
  <c r="CV284" i="12" a="1"/>
  <c r="CV284" i="12" s="1"/>
  <c r="CW283" i="12" a="1"/>
  <c r="CW283" i="12" s="1"/>
  <c r="CV283" i="12" a="1"/>
  <c r="CV283" i="12" s="1"/>
  <c r="CW282" i="12" a="1"/>
  <c r="CW282" i="12" s="1"/>
  <c r="CV282" i="12" a="1"/>
  <c r="CV282" i="12" s="1"/>
  <c r="CW281" i="12" a="1"/>
  <c r="CW281" i="12" s="1"/>
  <c r="CV281" i="12" a="1"/>
  <c r="CV281" i="12" s="1"/>
  <c r="CW280" i="12" a="1"/>
  <c r="CW280" i="12" s="1"/>
  <c r="CV280" i="12" a="1"/>
  <c r="CV280" i="12" s="1"/>
  <c r="CW279" i="12" a="1"/>
  <c r="CW279" i="12" s="1"/>
  <c r="CV279" i="12" a="1"/>
  <c r="CV279" i="12" s="1"/>
  <c r="CW278" i="12" a="1"/>
  <c r="CW278" i="12" s="1"/>
  <c r="CV278" i="12" a="1"/>
  <c r="CV278" i="12" s="1"/>
  <c r="CW277" i="12" a="1"/>
  <c r="CW277" i="12" s="1"/>
  <c r="CV277" i="12" a="1"/>
  <c r="CV277" i="12" s="1"/>
  <c r="CW276" i="12" a="1"/>
  <c r="CW276" i="12" s="1"/>
  <c r="CV276" i="12" a="1"/>
  <c r="CV276" i="12" s="1"/>
  <c r="CW275" i="12" a="1"/>
  <c r="CW275" i="12" s="1"/>
  <c r="CV275" i="12" a="1"/>
  <c r="CV275" i="12" s="1"/>
  <c r="CW274" i="12" a="1"/>
  <c r="CW274" i="12" s="1"/>
  <c r="CV274" i="12" a="1"/>
  <c r="CV274" i="12" s="1"/>
  <c r="CW273" i="12" a="1"/>
  <c r="CW273" i="12" s="1"/>
  <c r="CV273" i="12" a="1"/>
  <c r="CV273" i="12" s="1"/>
  <c r="CW272" i="12" a="1"/>
  <c r="CW272" i="12" s="1"/>
  <c r="CV272" i="12" a="1"/>
  <c r="CV272" i="12" s="1"/>
  <c r="CW271" i="12" a="1"/>
  <c r="CW271" i="12" s="1"/>
  <c r="CV271" i="12" a="1"/>
  <c r="CV271" i="12" s="1"/>
  <c r="CW270" i="12" a="1"/>
  <c r="CW270" i="12" s="1"/>
  <c r="CV270" i="12" a="1"/>
  <c r="CV270" i="12" s="1"/>
  <c r="CW269" i="12" a="1"/>
  <c r="CW269" i="12" s="1"/>
  <c r="CV269" i="12" a="1"/>
  <c r="CV269" i="12" s="1"/>
  <c r="CW268" i="12" a="1"/>
  <c r="CW268" i="12" s="1"/>
  <c r="CV268" i="12" a="1"/>
  <c r="CV268" i="12" s="1"/>
  <c r="CW267" i="12" a="1"/>
  <c r="CW267" i="12" s="1"/>
  <c r="CV267" i="12" a="1"/>
  <c r="CV267" i="12" s="1"/>
  <c r="CW266" i="12" a="1"/>
  <c r="CW266" i="12" s="1"/>
  <c r="CV266" i="12" a="1"/>
  <c r="CV266" i="12" s="1"/>
  <c r="CW265" i="12" a="1"/>
  <c r="CW265" i="12" s="1"/>
  <c r="CV265" i="12" a="1"/>
  <c r="CV265" i="12" s="1"/>
  <c r="CW264" i="12" a="1"/>
  <c r="CW264" i="12" s="1"/>
  <c r="CV264" i="12" a="1"/>
  <c r="CV264" i="12" s="1"/>
  <c r="CW263" i="12" a="1"/>
  <c r="CW263" i="12" s="1"/>
  <c r="CV263" i="12" a="1"/>
  <c r="CV263" i="12" s="1"/>
  <c r="CW262" i="12" a="1"/>
  <c r="CW262" i="12" s="1"/>
  <c r="CV262" i="12" a="1"/>
  <c r="CV262" i="12" s="1"/>
  <c r="CW261" i="12" a="1"/>
  <c r="CW261" i="12" s="1"/>
  <c r="CV261" i="12" a="1"/>
  <c r="CV261" i="12" s="1"/>
  <c r="CW260" i="12" a="1"/>
  <c r="CW260" i="12" s="1"/>
  <c r="CV260" i="12" a="1"/>
  <c r="CV260" i="12" s="1"/>
  <c r="CW259" i="12" a="1"/>
  <c r="CW259" i="12" s="1"/>
  <c r="CV259" i="12" a="1"/>
  <c r="CV259" i="12" s="1"/>
  <c r="CW258" i="12" a="1"/>
  <c r="CW258" i="12" s="1"/>
  <c r="CV258" i="12" a="1"/>
  <c r="CV258" i="12" s="1"/>
  <c r="CW257" i="12" a="1"/>
  <c r="CW257" i="12" s="1"/>
  <c r="CV257" i="12" a="1"/>
  <c r="CV257" i="12" s="1"/>
  <c r="CW256" i="12" a="1"/>
  <c r="CW256" i="12" s="1"/>
  <c r="CV256" i="12" a="1"/>
  <c r="CV256" i="12" s="1"/>
  <c r="CW255" i="12" a="1"/>
  <c r="CW255" i="12" s="1"/>
  <c r="CV255" i="12" a="1"/>
  <c r="CV255" i="12" s="1"/>
  <c r="CW254" i="12" a="1"/>
  <c r="CW254" i="12" s="1"/>
  <c r="CV254" i="12" a="1"/>
  <c r="CV254" i="12" s="1"/>
  <c r="CW253" i="12" a="1"/>
  <c r="CW253" i="12" s="1"/>
  <c r="CV253" i="12" a="1"/>
  <c r="CV253" i="12" s="1"/>
  <c r="CW252" i="12" a="1"/>
  <c r="CW252" i="12" s="1"/>
  <c r="CV252" i="12" a="1"/>
  <c r="CV252" i="12" s="1"/>
  <c r="CW251" i="12" a="1"/>
  <c r="CW251" i="12" s="1"/>
  <c r="CV251" i="12" a="1"/>
  <c r="CV251" i="12" s="1"/>
  <c r="CW250" i="12" a="1"/>
  <c r="CW250" i="12" s="1"/>
  <c r="CV250" i="12" a="1"/>
  <c r="CV250" i="12" s="1"/>
  <c r="CW249" i="12" a="1"/>
  <c r="CW249" i="12" s="1"/>
  <c r="CV249" i="12" a="1"/>
  <c r="CV249" i="12" s="1"/>
  <c r="CW248" i="12" a="1"/>
  <c r="CW248" i="12" s="1"/>
  <c r="CV248" i="12" a="1"/>
  <c r="CV248" i="12" s="1"/>
  <c r="CW247" i="12" a="1"/>
  <c r="CW247" i="12" s="1"/>
  <c r="CV247" i="12" a="1"/>
  <c r="CV247" i="12" s="1"/>
  <c r="CW246" i="12" a="1"/>
  <c r="CW246" i="12" s="1"/>
  <c r="CV246" i="12" a="1"/>
  <c r="CV246" i="12" s="1"/>
  <c r="CW245" i="12" a="1"/>
  <c r="CW245" i="12" s="1"/>
  <c r="CV245" i="12" a="1"/>
  <c r="CV245" i="12" s="1"/>
  <c r="CW244" i="12" a="1"/>
  <c r="CW244" i="12" s="1"/>
  <c r="CV244" i="12" a="1"/>
  <c r="CV244" i="12" s="1"/>
  <c r="CW243" i="12" a="1"/>
  <c r="CW243" i="12" s="1"/>
  <c r="CV243" i="12" a="1"/>
  <c r="CV243" i="12" s="1"/>
  <c r="CW242" i="12" a="1"/>
  <c r="CW242" i="12" s="1"/>
  <c r="CV242" i="12" a="1"/>
  <c r="CV242" i="12" s="1"/>
  <c r="CW241" i="12" a="1"/>
  <c r="CW241" i="12" s="1"/>
  <c r="CV241" i="12" a="1"/>
  <c r="CV241" i="12" s="1"/>
  <c r="CW240" i="12" a="1"/>
  <c r="CW240" i="12" s="1"/>
  <c r="CV240" i="12" a="1"/>
  <c r="CV240" i="12" s="1"/>
  <c r="CW239" i="12" a="1"/>
  <c r="CW239" i="12" s="1"/>
  <c r="CV239" i="12" a="1"/>
  <c r="CV239" i="12" s="1"/>
  <c r="CW238" i="12" a="1"/>
  <c r="CW238" i="12" s="1"/>
  <c r="CV238" i="12" a="1"/>
  <c r="CV238" i="12" s="1"/>
  <c r="CW237" i="12" a="1"/>
  <c r="CW237" i="12" s="1"/>
  <c r="CV237" i="12" a="1"/>
  <c r="CV237" i="12" s="1"/>
  <c r="CW236" i="12" a="1"/>
  <c r="CW236" i="12" s="1"/>
  <c r="CV236" i="12" a="1"/>
  <c r="CV236" i="12" s="1"/>
  <c r="CW235" i="12" a="1"/>
  <c r="CW235" i="12" s="1"/>
  <c r="CV235" i="12" a="1"/>
  <c r="CV235" i="12" s="1"/>
  <c r="CW234" i="12" a="1"/>
  <c r="CW234" i="12" s="1"/>
  <c r="CV234" i="12" a="1"/>
  <c r="CV234" i="12" s="1"/>
  <c r="CW233" i="12" a="1"/>
  <c r="CW233" i="12" s="1"/>
  <c r="CV233" i="12" a="1"/>
  <c r="CV233" i="12" s="1"/>
  <c r="CW232" i="12" a="1"/>
  <c r="CW232" i="12" s="1"/>
  <c r="CV232" i="12" a="1"/>
  <c r="CV232" i="12" s="1"/>
  <c r="CW231" i="12" a="1"/>
  <c r="CW231" i="12" s="1"/>
  <c r="CV231" i="12" a="1"/>
  <c r="CV231" i="12" s="1"/>
  <c r="CW230" i="12" a="1"/>
  <c r="CW230" i="12" s="1"/>
  <c r="CV230" i="12" a="1"/>
  <c r="CV230" i="12" s="1"/>
  <c r="CW229" i="12" a="1"/>
  <c r="CW229" i="12" s="1"/>
  <c r="CV229" i="12" a="1"/>
  <c r="CV229" i="12" s="1"/>
  <c r="CW228" i="12" a="1"/>
  <c r="CW228" i="12" s="1"/>
  <c r="CV228" i="12" a="1"/>
  <c r="CV228" i="12" s="1"/>
  <c r="CW227" i="12" a="1"/>
  <c r="CW227" i="12" s="1"/>
  <c r="CV227" i="12" a="1"/>
  <c r="CV227" i="12" s="1"/>
  <c r="CW226" i="12" a="1"/>
  <c r="CW226" i="12" s="1"/>
  <c r="CV226" i="12" a="1"/>
  <c r="CV226" i="12" s="1"/>
  <c r="CW225" i="12" a="1"/>
  <c r="CW225" i="12" s="1"/>
  <c r="CV225" i="12" a="1"/>
  <c r="CV225" i="12" s="1"/>
  <c r="AB41" i="11"/>
  <c r="AB40" i="11"/>
  <c r="AB8" i="11"/>
  <c r="AY5" i="17"/>
  <c r="AY6" i="17"/>
  <c r="AY7" i="17"/>
  <c r="AY8" i="17"/>
  <c r="AY9" i="17"/>
  <c r="AY10" i="17"/>
  <c r="AY11" i="17"/>
  <c r="AY12" i="17"/>
  <c r="AY13" i="17"/>
  <c r="AY14" i="17"/>
  <c r="AY15" i="17"/>
  <c r="AY16" i="17"/>
  <c r="AY17" i="17"/>
  <c r="AY18" i="17"/>
  <c r="AY19" i="17"/>
  <c r="AY20" i="17"/>
  <c r="AY21" i="17"/>
  <c r="AY22" i="17"/>
  <c r="AY23" i="17"/>
  <c r="AY24" i="17"/>
  <c r="AY25" i="17"/>
  <c r="AY26" i="17"/>
  <c r="AY27" i="17"/>
  <c r="AY28" i="17"/>
  <c r="AY29" i="17"/>
  <c r="AY30" i="17"/>
  <c r="AY31" i="17"/>
  <c r="AY32" i="17"/>
  <c r="AY33" i="17"/>
  <c r="AY34" i="17"/>
  <c r="AY35" i="17"/>
  <c r="AY36" i="17"/>
  <c r="AY37" i="17"/>
  <c r="AY38" i="17"/>
  <c r="AY39" i="17"/>
  <c r="AY40" i="17"/>
  <c r="AY41" i="17"/>
  <c r="AY42" i="17"/>
  <c r="AY43" i="17"/>
  <c r="AY44" i="17"/>
  <c r="AY45" i="17"/>
  <c r="AY46" i="17"/>
  <c r="AY47" i="17"/>
  <c r="AY48" i="17"/>
  <c r="AY49" i="17"/>
  <c r="AY50" i="17"/>
  <c r="AY51" i="17"/>
  <c r="AY52" i="17"/>
  <c r="AY53" i="17"/>
  <c r="AY54" i="17"/>
  <c r="AY55" i="17"/>
  <c r="AY56" i="17"/>
  <c r="AY57" i="17"/>
  <c r="AY58" i="17"/>
  <c r="AY59" i="17"/>
  <c r="AY60" i="17"/>
  <c r="AY61" i="17"/>
  <c r="AY62" i="17"/>
  <c r="AY63" i="17"/>
  <c r="AY64" i="17"/>
  <c r="AY65" i="17"/>
  <c r="AY66" i="17"/>
  <c r="AY67" i="17"/>
  <c r="AY68" i="17"/>
  <c r="AY69" i="17"/>
  <c r="AY70" i="17"/>
  <c r="AY71" i="17"/>
  <c r="AY72" i="17"/>
  <c r="AY73" i="17"/>
  <c r="AY74" i="17"/>
  <c r="AY75" i="17"/>
  <c r="AY76" i="17"/>
  <c r="AY77" i="17"/>
  <c r="AY78" i="17"/>
  <c r="AY79" i="17"/>
  <c r="AY80" i="17"/>
  <c r="AY81" i="17"/>
  <c r="AY82" i="17"/>
  <c r="AY83" i="17"/>
  <c r="AY84" i="17"/>
  <c r="AY85" i="17"/>
  <c r="AY86" i="17"/>
  <c r="AY87" i="17"/>
  <c r="AY88" i="17"/>
  <c r="AY89" i="17"/>
  <c r="AY90" i="17"/>
  <c r="AY91" i="17"/>
  <c r="AY92" i="17"/>
  <c r="AY93" i="17"/>
  <c r="AY94" i="17"/>
  <c r="AY95" i="17"/>
  <c r="AY96" i="17"/>
  <c r="AY97" i="17"/>
  <c r="AY98" i="17"/>
  <c r="AY99" i="17"/>
  <c r="AY100" i="17"/>
  <c r="AY101" i="17"/>
  <c r="AY102" i="17"/>
  <c r="AY103" i="17"/>
  <c r="AY104" i="17"/>
  <c r="AY105" i="17"/>
  <c r="AY106" i="17"/>
  <c r="AY107" i="17"/>
  <c r="AY108" i="17"/>
  <c r="AY109" i="17"/>
  <c r="AY110" i="17"/>
  <c r="AY111" i="17"/>
  <c r="AY112" i="17"/>
  <c r="AY113" i="17"/>
  <c r="AY114" i="17"/>
  <c r="AY115" i="17"/>
  <c r="AY116" i="17"/>
  <c r="AY117" i="17"/>
  <c r="AY118" i="17"/>
  <c r="AY119" i="17"/>
  <c r="AY120" i="17"/>
  <c r="AY121" i="17"/>
  <c r="AY122" i="17"/>
  <c r="AY123" i="17"/>
  <c r="AY124" i="17"/>
  <c r="AY125" i="17"/>
  <c r="AY126" i="17"/>
  <c r="AY127" i="17"/>
  <c r="AY128" i="17"/>
  <c r="AY129" i="17"/>
  <c r="AY130" i="17"/>
  <c r="AY131" i="17"/>
  <c r="AY132" i="17"/>
  <c r="AY133" i="17"/>
  <c r="AY134" i="17"/>
  <c r="AY135" i="17"/>
  <c r="AY136" i="17"/>
  <c r="AY137" i="17"/>
  <c r="AY138" i="17"/>
  <c r="AY139" i="17"/>
  <c r="AY140" i="17"/>
  <c r="AY141" i="17"/>
  <c r="AY142" i="17"/>
  <c r="AY143" i="17"/>
  <c r="AY144" i="17"/>
  <c r="AY145" i="17"/>
  <c r="AY146" i="17"/>
  <c r="AY147" i="17"/>
  <c r="AY148" i="17"/>
  <c r="AY149" i="17"/>
  <c r="AY150" i="17"/>
  <c r="AY151" i="17"/>
  <c r="AY152" i="17"/>
  <c r="AY153" i="17"/>
  <c r="AY154" i="17"/>
  <c r="AY155" i="17"/>
  <c r="AY156" i="17"/>
  <c r="AY157" i="17"/>
  <c r="AY158" i="17"/>
  <c r="AY159" i="17"/>
  <c r="AY160" i="17"/>
  <c r="AY161" i="17"/>
  <c r="AY162" i="17"/>
  <c r="AY163" i="17"/>
  <c r="AY164" i="17"/>
  <c r="AY165" i="17"/>
  <c r="AY166" i="17"/>
  <c r="AY167" i="17"/>
  <c r="AY168" i="17"/>
  <c r="AY169" i="17"/>
  <c r="AY170" i="17"/>
  <c r="AY171" i="17"/>
  <c r="AY172" i="17"/>
  <c r="AY173" i="17"/>
  <c r="AY174" i="17"/>
  <c r="AY175" i="17"/>
  <c r="AY176" i="17"/>
  <c r="AY177" i="17"/>
  <c r="AY178" i="17"/>
  <c r="AY179" i="17"/>
  <c r="AY180" i="17"/>
  <c r="AY181" i="17"/>
  <c r="AY182" i="17"/>
  <c r="AY183" i="17"/>
  <c r="AY184" i="17"/>
  <c r="AY185" i="17"/>
  <c r="AY186" i="17"/>
  <c r="AY187" i="17"/>
  <c r="AY188" i="17"/>
  <c r="AY189" i="17"/>
  <c r="AY190" i="17"/>
  <c r="AY191" i="17"/>
  <c r="AY192" i="17"/>
  <c r="AY193" i="17"/>
  <c r="AY194" i="17"/>
  <c r="AY195" i="17"/>
  <c r="AY196" i="17"/>
  <c r="AY197" i="17"/>
  <c r="AY198" i="17"/>
  <c r="AY199" i="17"/>
  <c r="AY200" i="17"/>
  <c r="AY201" i="17"/>
  <c r="AY202" i="17"/>
  <c r="AY203" i="17"/>
  <c r="AY204" i="17"/>
  <c r="AY205" i="17"/>
  <c r="AY206" i="17"/>
  <c r="AY207" i="17"/>
  <c r="AY208" i="17"/>
  <c r="AY209" i="17"/>
  <c r="AY210" i="17"/>
  <c r="AY211" i="17"/>
  <c r="AY212" i="17"/>
  <c r="AY213" i="17"/>
  <c r="AY214" i="17"/>
  <c r="AY215" i="17"/>
  <c r="AY216" i="17"/>
  <c r="AY217" i="17"/>
  <c r="AY218" i="17"/>
  <c r="AY219" i="17"/>
  <c r="AY220" i="17"/>
  <c r="AY221" i="17"/>
  <c r="AY222" i="17"/>
  <c r="AY223" i="17"/>
  <c r="G3" i="16"/>
  <c r="AB35" i="11"/>
  <c r="AB31" i="11"/>
  <c r="AB10" i="11"/>
  <c r="AB5" i="11"/>
  <c r="AB39" i="11"/>
  <c r="CW224" i="12" a="1"/>
  <c r="CW224" i="12" s="1"/>
  <c r="CV224" i="12" a="1"/>
  <c r="CV224" i="12" s="1"/>
  <c r="CW223" i="12" a="1"/>
  <c r="CW223" i="12" s="1"/>
  <c r="CV223" i="12" a="1"/>
  <c r="CV223" i="12" s="1"/>
  <c r="CW222" i="12" a="1"/>
  <c r="CW222" i="12" s="1"/>
  <c r="CV222" i="12" a="1"/>
  <c r="CV222" i="12" s="1"/>
  <c r="CW221" i="12" a="1"/>
  <c r="CW221" i="12" s="1"/>
  <c r="CV221" i="12" a="1"/>
  <c r="CV221" i="12" s="1"/>
  <c r="CW220" i="12" a="1"/>
  <c r="CW220" i="12" s="1"/>
  <c r="CV220" i="12" a="1"/>
  <c r="CV220" i="12" s="1"/>
  <c r="CW219" i="12" a="1"/>
  <c r="CW219" i="12" s="1"/>
  <c r="CV219" i="12" a="1"/>
  <c r="CV219" i="12" s="1"/>
  <c r="CW218" i="12" a="1"/>
  <c r="CW218" i="12" s="1"/>
  <c r="CV218" i="12" a="1"/>
  <c r="CV218" i="12" s="1"/>
  <c r="CW217" i="12" a="1"/>
  <c r="CW217" i="12" s="1"/>
  <c r="CV217" i="12" a="1"/>
  <c r="CV217" i="12" s="1"/>
  <c r="CW216" i="12" a="1"/>
  <c r="CW216" i="12" s="1"/>
  <c r="CV216" i="12" a="1"/>
  <c r="CV216" i="12" s="1"/>
  <c r="CW215" i="12" a="1"/>
  <c r="CW215" i="12" s="1"/>
  <c r="CV215" i="12" a="1"/>
  <c r="CV215" i="12" s="1"/>
  <c r="CW214" i="12" a="1"/>
  <c r="CW214" i="12" s="1"/>
  <c r="CV214" i="12" a="1"/>
  <c r="CV214" i="12" s="1"/>
  <c r="CW213" i="12" a="1"/>
  <c r="CW213" i="12" s="1"/>
  <c r="CV213" i="12" a="1"/>
  <c r="CV213" i="12" s="1"/>
  <c r="CW212" i="12" a="1"/>
  <c r="CW212" i="12" s="1"/>
  <c r="CV212" i="12" a="1"/>
  <c r="CV212" i="12" s="1"/>
  <c r="CW211" i="12" a="1"/>
  <c r="CW211" i="12" s="1"/>
  <c r="CV211" i="12" a="1"/>
  <c r="CV211" i="12" s="1"/>
  <c r="CW210" i="12" a="1"/>
  <c r="CW210" i="12" s="1"/>
  <c r="CV210" i="12" a="1"/>
  <c r="CV210" i="12" s="1"/>
  <c r="CW209" i="12" a="1"/>
  <c r="CW209" i="12" s="1"/>
  <c r="CV209" i="12" a="1"/>
  <c r="CV209" i="12" s="1"/>
  <c r="CW208" i="12" a="1"/>
  <c r="CW208" i="12" s="1"/>
  <c r="CV208" i="12" a="1"/>
  <c r="CV208" i="12" s="1"/>
  <c r="CW207" i="12" a="1"/>
  <c r="CW207" i="12" s="1"/>
  <c r="CV207" i="12" a="1"/>
  <c r="CV207" i="12" s="1"/>
  <c r="CW206" i="12" a="1"/>
  <c r="CW206" i="12" s="1"/>
  <c r="CV206" i="12" a="1"/>
  <c r="CV206" i="12" s="1"/>
  <c r="CW205" i="12" a="1"/>
  <c r="CW205" i="12" s="1"/>
  <c r="CV205" i="12" a="1"/>
  <c r="CV205" i="12" s="1"/>
  <c r="CW204" i="12" a="1"/>
  <c r="CW204" i="12" s="1"/>
  <c r="CV204" i="12" a="1"/>
  <c r="CV204" i="12" s="1"/>
  <c r="CW203" i="12" a="1"/>
  <c r="CW203" i="12" s="1"/>
  <c r="CV203" i="12" a="1"/>
  <c r="CV203" i="12" s="1"/>
  <c r="CW202" i="12" a="1"/>
  <c r="CW202" i="12" s="1"/>
  <c r="CV202" i="12" a="1"/>
  <c r="CV202" i="12" s="1"/>
  <c r="CW201" i="12" a="1"/>
  <c r="CW201" i="12" s="1"/>
  <c r="CV201" i="12" a="1"/>
  <c r="CV201" i="12" s="1"/>
  <c r="CW200" i="12" a="1"/>
  <c r="CW200" i="12" s="1"/>
  <c r="CV200" i="12" a="1"/>
  <c r="CV200" i="12" s="1"/>
  <c r="CW199" i="12" a="1"/>
  <c r="CW199" i="12" s="1"/>
  <c r="CV199" i="12" a="1"/>
  <c r="CV199" i="12" s="1"/>
  <c r="CW198" i="12" a="1"/>
  <c r="CW198" i="12" s="1"/>
  <c r="CV198" i="12" a="1"/>
  <c r="CV198" i="12" s="1"/>
  <c r="CW197" i="12" a="1"/>
  <c r="CW197" i="12" s="1"/>
  <c r="CV197" i="12" a="1"/>
  <c r="CV197" i="12" s="1"/>
  <c r="CW196" i="12" a="1"/>
  <c r="CW196" i="12" s="1"/>
  <c r="CV196" i="12" a="1"/>
  <c r="CV196" i="12" s="1"/>
  <c r="CW195" i="12" a="1"/>
  <c r="CW195" i="12" s="1"/>
  <c r="CV195" i="12" a="1"/>
  <c r="CV195" i="12" s="1"/>
  <c r="CW194" i="12" a="1"/>
  <c r="CW194" i="12" s="1"/>
  <c r="CV194" i="12" a="1"/>
  <c r="CV194" i="12" s="1"/>
  <c r="CW193" i="12" a="1"/>
  <c r="CW193" i="12" s="1"/>
  <c r="CV193" i="12" a="1"/>
  <c r="CV193" i="12" s="1"/>
  <c r="CW192" i="12" a="1"/>
  <c r="CW192" i="12" s="1"/>
  <c r="CV192" i="12" a="1"/>
  <c r="CV192" i="12" s="1"/>
  <c r="CW191" i="12" a="1"/>
  <c r="CW191" i="12" s="1"/>
  <c r="CV191" i="12" a="1"/>
  <c r="CV191" i="12" s="1"/>
  <c r="CW190" i="12" a="1"/>
  <c r="CW190" i="12" s="1"/>
  <c r="CV190" i="12" a="1"/>
  <c r="CV190" i="12" s="1"/>
  <c r="CW189" i="12" a="1"/>
  <c r="CW189" i="12" s="1"/>
  <c r="CV189" i="12" a="1"/>
  <c r="CV189" i="12" s="1"/>
  <c r="CW188" i="12" a="1"/>
  <c r="CW188" i="12" s="1"/>
  <c r="CV188" i="12" a="1"/>
  <c r="CV188" i="12" s="1"/>
  <c r="CW187" i="12" a="1"/>
  <c r="CW187" i="12" s="1"/>
  <c r="CV187" i="12" a="1"/>
  <c r="CV187" i="12" s="1"/>
  <c r="CW186" i="12" a="1"/>
  <c r="CW186" i="12" s="1"/>
  <c r="CV186" i="12" a="1"/>
  <c r="CV186" i="12" s="1"/>
  <c r="CW185" i="12" a="1"/>
  <c r="CW185" i="12" s="1"/>
  <c r="CV185" i="12" a="1"/>
  <c r="CV185" i="12" s="1"/>
  <c r="CW184" i="12" a="1"/>
  <c r="CW184" i="12" s="1"/>
  <c r="CV184" i="12" a="1"/>
  <c r="CV184" i="12" s="1"/>
  <c r="CW183" i="12" a="1"/>
  <c r="CW183" i="12" s="1"/>
  <c r="CV183" i="12" a="1"/>
  <c r="CV183" i="12" s="1"/>
  <c r="CW182" i="12" a="1"/>
  <c r="CW182" i="12" s="1"/>
  <c r="CV182" i="12" a="1"/>
  <c r="CV182" i="12" s="1"/>
  <c r="CW181" i="12" a="1"/>
  <c r="CW181" i="12" s="1"/>
  <c r="CV181" i="12" a="1"/>
  <c r="CV181" i="12" s="1"/>
  <c r="CW180" i="12" a="1"/>
  <c r="CW180" i="12" s="1"/>
  <c r="CV180" i="12" a="1"/>
  <c r="CV180" i="12" s="1"/>
  <c r="CW179" i="12" a="1"/>
  <c r="CW179" i="12" s="1"/>
  <c r="CV179" i="12" a="1"/>
  <c r="CV179" i="12" s="1"/>
  <c r="CW178" i="12" a="1"/>
  <c r="CW178" i="12" s="1"/>
  <c r="CV178" i="12" a="1"/>
  <c r="CV178" i="12" s="1"/>
  <c r="CW177" i="12" a="1"/>
  <c r="CW177" i="12" s="1"/>
  <c r="CV177" i="12" a="1"/>
  <c r="CV177" i="12" s="1"/>
  <c r="CW176" i="12" a="1"/>
  <c r="CW176" i="12" s="1"/>
  <c r="CV176" i="12" a="1"/>
  <c r="CV176" i="12" s="1"/>
  <c r="CW175" i="12" a="1"/>
  <c r="CW175" i="12" s="1"/>
  <c r="CV175" i="12" a="1"/>
  <c r="CV175" i="12" s="1"/>
  <c r="CW174" i="12" a="1"/>
  <c r="CW174" i="12" s="1"/>
  <c r="CV174" i="12" a="1"/>
  <c r="CV174" i="12" s="1"/>
  <c r="CW173" i="12" a="1"/>
  <c r="CW173" i="12" s="1"/>
  <c r="CV173" i="12" a="1"/>
  <c r="CV173" i="12" s="1"/>
  <c r="CW172" i="12" a="1"/>
  <c r="CW172" i="12" s="1"/>
  <c r="CV172" i="12" a="1"/>
  <c r="CV172" i="12" s="1"/>
  <c r="CW171" i="12" a="1"/>
  <c r="CW171" i="12" s="1"/>
  <c r="CV171" i="12" a="1"/>
  <c r="CV171" i="12" s="1"/>
  <c r="CW170" i="12" a="1"/>
  <c r="CW170" i="12" s="1"/>
  <c r="CV170" i="12" a="1"/>
  <c r="CV170" i="12" s="1"/>
  <c r="CW169" i="12" a="1"/>
  <c r="CW169" i="12" s="1"/>
  <c r="CV169" i="12" a="1"/>
  <c r="CV169" i="12" s="1"/>
  <c r="CW168" i="12" a="1"/>
  <c r="CW168" i="12" s="1"/>
  <c r="CV168" i="12" a="1"/>
  <c r="CV168" i="12" s="1"/>
  <c r="CW167" i="12" a="1"/>
  <c r="CW167" i="12" s="1"/>
  <c r="CV167" i="12" a="1"/>
  <c r="CV167" i="12" s="1"/>
  <c r="CW166" i="12" a="1"/>
  <c r="CW166" i="12" s="1"/>
  <c r="CV166" i="12" a="1"/>
  <c r="CV166" i="12" s="1"/>
  <c r="CW165" i="12" a="1"/>
  <c r="CW165" i="12" s="1"/>
  <c r="CV165" i="12" a="1"/>
  <c r="CV165" i="12" s="1"/>
  <c r="CW164" i="12" a="1"/>
  <c r="CW164" i="12" s="1"/>
  <c r="CV164" i="12" a="1"/>
  <c r="CV164" i="12" s="1"/>
  <c r="CW163" i="12" a="1"/>
  <c r="CW163" i="12" s="1"/>
  <c r="CV163" i="12" a="1"/>
  <c r="CV163" i="12" s="1"/>
  <c r="CW162" i="12" a="1"/>
  <c r="CW162" i="12" s="1"/>
  <c r="CV162" i="12" a="1"/>
  <c r="CV162" i="12" s="1"/>
  <c r="CW161" i="12" a="1"/>
  <c r="CW161" i="12" s="1"/>
  <c r="CV161" i="12" a="1"/>
  <c r="CV161" i="12" s="1"/>
  <c r="CW160" i="12" a="1"/>
  <c r="CW160" i="12" s="1"/>
  <c r="CV160" i="12" a="1"/>
  <c r="CV160" i="12" s="1"/>
  <c r="CW159" i="12" a="1"/>
  <c r="CW159" i="12" s="1"/>
  <c r="CV159" i="12" a="1"/>
  <c r="CV159" i="12" s="1"/>
  <c r="CW158" i="12" a="1"/>
  <c r="CW158" i="12" s="1"/>
  <c r="CV158" i="12" a="1"/>
  <c r="CV158" i="12" s="1"/>
  <c r="CW157" i="12" a="1"/>
  <c r="CW157" i="12" s="1"/>
  <c r="CV157" i="12" a="1"/>
  <c r="CV157" i="12" s="1"/>
  <c r="CW156" i="12" a="1"/>
  <c r="CW156" i="12" s="1"/>
  <c r="CV156" i="12" a="1"/>
  <c r="CV156" i="12" s="1"/>
  <c r="CW155" i="12" a="1"/>
  <c r="CW155" i="12" s="1"/>
  <c r="CV155" i="12" a="1"/>
  <c r="CV155" i="12" s="1"/>
  <c r="CW154" i="12" a="1"/>
  <c r="CW154" i="12" s="1"/>
  <c r="CV154" i="12" a="1"/>
  <c r="CV154" i="12" s="1"/>
  <c r="CW153" i="12" a="1"/>
  <c r="CW153" i="12" s="1"/>
  <c r="CV153" i="12" a="1"/>
  <c r="CV153" i="12" s="1"/>
  <c r="CW152" i="12" a="1"/>
  <c r="CW152" i="12" s="1"/>
  <c r="CV152" i="12" a="1"/>
  <c r="CV152" i="12" s="1"/>
  <c r="CW151" i="12" a="1"/>
  <c r="CW151" i="12" s="1"/>
  <c r="CV151" i="12" a="1"/>
  <c r="CV151" i="12" s="1"/>
  <c r="CW150" i="12" a="1"/>
  <c r="CW150" i="12" s="1"/>
  <c r="CV150" i="12" a="1"/>
  <c r="CV150" i="12" s="1"/>
  <c r="CW149" i="12" a="1"/>
  <c r="CW149" i="12" s="1"/>
  <c r="CV149" i="12" a="1"/>
  <c r="CV149" i="12" s="1"/>
  <c r="CV5" i="12" a="1"/>
  <c r="CV5" i="12" s="1"/>
  <c r="CV7" i="12" a="1"/>
  <c r="CV7" i="12" s="1"/>
  <c r="CV6" i="12" a="1"/>
  <c r="CV6" i="12" s="1"/>
  <c r="CV8" i="12" a="1"/>
  <c r="CV8" i="12" s="1"/>
  <c r="CV9" i="12" a="1"/>
  <c r="CV9" i="12" s="1"/>
  <c r="CV10" i="12" a="1"/>
  <c r="CV10" i="12" s="1"/>
  <c r="CV11" i="12" a="1"/>
  <c r="CV11" i="12" s="1"/>
  <c r="CV12" i="12" a="1"/>
  <c r="CV12" i="12" s="1"/>
  <c r="CV13" i="12" a="1"/>
  <c r="CV13" i="12" s="1"/>
  <c r="CV14" i="12" a="1"/>
  <c r="CV14" i="12" s="1"/>
  <c r="CV15" i="12" a="1"/>
  <c r="CV15" i="12" s="1"/>
  <c r="CV16" i="12" a="1"/>
  <c r="CV16" i="12" s="1"/>
  <c r="CV17" i="12" a="1"/>
  <c r="CV17" i="12" s="1"/>
  <c r="CV18" i="12" a="1"/>
  <c r="CV18" i="12" s="1"/>
  <c r="CV19" i="12" a="1"/>
  <c r="CV20" i="12" a="1"/>
  <c r="CV20" i="12" s="1"/>
  <c r="CV21" i="12" a="1"/>
  <c r="CV21" i="12" s="1"/>
  <c r="CV22" i="12" a="1"/>
  <c r="CV22" i="12" s="1"/>
  <c r="CV23" i="12" a="1"/>
  <c r="CV23" i="12" s="1"/>
  <c r="CV24" i="12" a="1"/>
  <c r="CV24" i="12" s="1"/>
  <c r="CV25" i="12" a="1"/>
  <c r="CV25" i="12" s="1"/>
  <c r="CV26" i="12" a="1"/>
  <c r="CV26" i="12" s="1"/>
  <c r="CV27" i="12" a="1"/>
  <c r="CV27" i="12" s="1"/>
  <c r="CV28" i="12" a="1"/>
  <c r="CV28" i="12" s="1"/>
  <c r="CV29" i="12" a="1"/>
  <c r="CV29" i="12" s="1"/>
  <c r="CV30" i="12" a="1"/>
  <c r="CV30" i="12" s="1"/>
  <c r="CV31" i="12" a="1"/>
  <c r="CV31" i="12" s="1"/>
  <c r="CV32" i="12" a="1"/>
  <c r="CV32" i="12" s="1"/>
  <c r="CV33" i="12" a="1"/>
  <c r="CV33" i="12" s="1"/>
  <c r="CV34" i="12" a="1"/>
  <c r="CV34" i="12" s="1"/>
  <c r="CV35" i="12" a="1"/>
  <c r="CV35" i="12" s="1"/>
  <c r="CV36" i="12" a="1"/>
  <c r="CV36" i="12" s="1"/>
  <c r="CV37" i="12" a="1"/>
  <c r="CV37" i="12" s="1"/>
  <c r="CV38" i="12" a="1"/>
  <c r="CV38" i="12" s="1"/>
  <c r="CV39" i="12" a="1"/>
  <c r="CV39" i="12" s="1"/>
  <c r="CV40" i="12" a="1"/>
  <c r="CV40" i="12" s="1"/>
  <c r="CV41" i="12" a="1"/>
  <c r="CV41" i="12" s="1"/>
  <c r="CV42" i="12" a="1"/>
  <c r="CV42" i="12" s="1"/>
  <c r="CV43" i="12" a="1"/>
  <c r="CV43" i="12" s="1"/>
  <c r="CV44" i="12" a="1"/>
  <c r="CV44" i="12" s="1"/>
  <c r="CV45" i="12" a="1"/>
  <c r="CV46" i="12" a="1"/>
  <c r="CV46" i="12" s="1"/>
  <c r="CV47" i="12" a="1"/>
  <c r="CV47" i="12" s="1"/>
  <c r="CV48" i="12" a="1"/>
  <c r="CV48" i="12" s="1"/>
  <c r="CV49" i="12" a="1"/>
  <c r="CV49" i="12" s="1"/>
  <c r="CV50" i="12" a="1"/>
  <c r="CV50" i="12" s="1"/>
  <c r="CV51" i="12" a="1"/>
  <c r="CV51" i="12" s="1"/>
  <c r="CV52" i="12" a="1"/>
  <c r="CV52" i="12" s="1"/>
  <c r="CV53" i="12" a="1"/>
  <c r="CV54" i="12" a="1"/>
  <c r="CV54" i="12" s="1"/>
  <c r="CV55" i="12" a="1"/>
  <c r="CV55" i="12" s="1"/>
  <c r="CV56" i="12" a="1"/>
  <c r="CV56" i="12" s="1"/>
  <c r="CV57" i="12" a="1"/>
  <c r="CV57" i="12" s="1"/>
  <c r="CV58" i="12" a="1"/>
  <c r="CV58" i="12" s="1"/>
  <c r="CV59" i="12" a="1"/>
  <c r="CV59" i="12" s="1"/>
  <c r="CV60" i="12" a="1"/>
  <c r="CV60" i="12" s="1"/>
  <c r="CV61" i="12" a="1"/>
  <c r="CV61" i="12" s="1"/>
  <c r="CV62" i="12" a="1"/>
  <c r="CV62" i="12" s="1"/>
  <c r="CV63" i="12" a="1"/>
  <c r="CV63" i="12" s="1"/>
  <c r="CV64" i="12" a="1"/>
  <c r="CV64" i="12" s="1"/>
  <c r="CV65" i="12" a="1"/>
  <c r="CV65" i="12" s="1"/>
  <c r="CV66" i="12" a="1"/>
  <c r="CV66" i="12" s="1"/>
  <c r="CV67" i="12" a="1"/>
  <c r="CV68" i="12" a="1"/>
  <c r="CV68" i="12" s="1"/>
  <c r="CV69" i="12" a="1"/>
  <c r="CV69" i="12" s="1"/>
  <c r="CV70" i="12" a="1"/>
  <c r="CV70" i="12" s="1"/>
  <c r="CV71" i="12" a="1"/>
  <c r="CV71" i="12" s="1"/>
  <c r="CV72" i="12" a="1"/>
  <c r="CV72" i="12" s="1"/>
  <c r="CV73" i="12" a="1"/>
  <c r="CV73" i="12" s="1"/>
  <c r="CV74" i="12" a="1"/>
  <c r="CV74" i="12" s="1"/>
  <c r="CV75" i="12" a="1"/>
  <c r="CV75" i="12" s="1"/>
  <c r="CV76" i="12" a="1"/>
  <c r="CV76" i="12" s="1"/>
  <c r="CV77" i="12" a="1"/>
  <c r="CV78" i="12" a="1"/>
  <c r="CV78" i="12" s="1"/>
  <c r="CV79" i="12" a="1"/>
  <c r="CV79" i="12" s="1"/>
  <c r="CV80" i="12" a="1"/>
  <c r="CV80" i="12" s="1"/>
  <c r="CV81" i="12" a="1"/>
  <c r="CV81" i="12" s="1"/>
  <c r="CV82" i="12" a="1"/>
  <c r="CV82" i="12" s="1"/>
  <c r="CV83" i="12" a="1"/>
  <c r="CV83" i="12" s="1"/>
  <c r="CV84" i="12" a="1"/>
  <c r="CV84" i="12" s="1"/>
  <c r="CV85" i="12" a="1"/>
  <c r="CV85" i="12" s="1"/>
  <c r="CV86" i="12" a="1"/>
  <c r="CV86" i="12" s="1"/>
  <c r="CV87" i="12" a="1"/>
  <c r="CV88" i="12" a="1"/>
  <c r="CV88" i="12" s="1"/>
  <c r="CV89" i="12" a="1"/>
  <c r="CV89" i="12" s="1"/>
  <c r="CV90" i="12" a="1"/>
  <c r="CV90" i="12" s="1"/>
  <c r="CV91" i="12" a="1"/>
  <c r="CV91" i="12" s="1"/>
  <c r="CV92" i="12" a="1"/>
  <c r="CV92" i="12" s="1"/>
  <c r="CV93" i="12" a="1"/>
  <c r="CV94" i="12" a="1"/>
  <c r="CV94" i="12" s="1"/>
  <c r="CV95" i="12" a="1"/>
  <c r="CV95" i="12" s="1"/>
  <c r="CV96" i="12" a="1"/>
  <c r="CV96" i="12" s="1"/>
  <c r="CV97" i="12" a="1"/>
  <c r="CV97" i="12" s="1"/>
  <c r="CV98" i="12" a="1"/>
  <c r="CV98" i="12" s="1"/>
  <c r="CV99" i="12" a="1"/>
  <c r="CV99" i="12" s="1"/>
  <c r="CV100" i="12" a="1"/>
  <c r="CV100" i="12" s="1"/>
  <c r="CV101" i="12" a="1"/>
  <c r="CV101" i="12" s="1"/>
  <c r="CV102" i="12" a="1"/>
  <c r="CV102" i="12" s="1"/>
  <c r="CV103" i="12" a="1"/>
  <c r="CV103" i="12" s="1"/>
  <c r="CV104" i="12" a="1"/>
  <c r="CV104" i="12" s="1"/>
  <c r="CV105" i="12" a="1"/>
  <c r="CV105" i="12" s="1"/>
  <c r="CV106" i="12" a="1"/>
  <c r="CV106" i="12" s="1"/>
  <c r="CV107" i="12" a="1"/>
  <c r="CV107" i="12" s="1"/>
  <c r="CV108" i="12" a="1"/>
  <c r="CV108" i="12" s="1"/>
  <c r="CV109" i="12" a="1"/>
  <c r="CV110" i="12" a="1"/>
  <c r="CV110" i="12" s="1"/>
  <c r="CV111" i="12" a="1"/>
  <c r="CV111" i="12" s="1"/>
  <c r="CV112" i="12" a="1"/>
  <c r="CV112" i="12" s="1"/>
  <c r="CV113" i="12" a="1"/>
  <c r="CV113" i="12" s="1"/>
  <c r="CV114" i="12" a="1"/>
  <c r="CV114" i="12" s="1"/>
  <c r="CV115" i="12" a="1"/>
  <c r="CV115" i="12" s="1"/>
  <c r="CV116" i="12" a="1"/>
  <c r="CV116" i="12" s="1"/>
  <c r="CV117" i="12" a="1"/>
  <c r="CV117" i="12" s="1"/>
  <c r="CV118" i="12" a="1"/>
  <c r="CV118" i="12" s="1"/>
  <c r="CV119" i="12" a="1"/>
  <c r="CV119" i="12" s="1"/>
  <c r="CV120" i="12" a="1"/>
  <c r="CV120" i="12" s="1"/>
  <c r="CV121" i="12" a="1"/>
  <c r="CV121" i="12" s="1"/>
  <c r="CV122" i="12" a="1"/>
  <c r="CV122" i="12" s="1"/>
  <c r="CV123" i="12" a="1"/>
  <c r="CV123" i="12" s="1"/>
  <c r="CV124" i="12" a="1"/>
  <c r="CV124" i="12" s="1"/>
  <c r="CV125" i="12" a="1"/>
  <c r="CV125" i="12" s="1"/>
  <c r="CV126" i="12" a="1"/>
  <c r="CV126" i="12" s="1"/>
  <c r="CV127" i="12" a="1"/>
  <c r="CV127" i="12" s="1"/>
  <c r="CV128" i="12" a="1"/>
  <c r="CV128" i="12" s="1"/>
  <c r="CV129" i="12" a="1"/>
  <c r="CV129" i="12" s="1"/>
  <c r="CV130" i="12" a="1"/>
  <c r="CV130" i="12" s="1"/>
  <c r="CV131" i="12" a="1"/>
  <c r="CV131" i="12" s="1"/>
  <c r="CV132" i="12" a="1"/>
  <c r="CV132" i="12" s="1"/>
  <c r="CV133" i="12" a="1"/>
  <c r="CV133" i="12" s="1"/>
  <c r="CV134" i="12" a="1"/>
  <c r="CV134" i="12" s="1"/>
  <c r="CV135" i="12" a="1"/>
  <c r="CV135" i="12" s="1"/>
  <c r="CV136" i="12" a="1"/>
  <c r="CV136" i="12" s="1"/>
  <c r="CV137" i="12" a="1"/>
  <c r="CV137" i="12" s="1"/>
  <c r="CV138" i="12" a="1"/>
  <c r="CV138" i="12" s="1"/>
  <c r="CV139" i="12" a="1"/>
  <c r="CV139" i="12" s="1"/>
  <c r="CV140" i="12" a="1"/>
  <c r="CV140" i="12" s="1"/>
  <c r="CV141" i="12" a="1"/>
  <c r="CV141" i="12" s="1"/>
  <c r="CV142" i="12" a="1"/>
  <c r="CV142" i="12" s="1"/>
  <c r="CV143" i="12" a="1"/>
  <c r="CV143" i="12" s="1"/>
  <c r="CV144" i="12" a="1"/>
  <c r="CV144" i="12" s="1"/>
  <c r="CV145" i="12" a="1"/>
  <c r="CV145" i="12" s="1"/>
  <c r="CV146" i="12" a="1"/>
  <c r="CV146" i="12" s="1"/>
  <c r="CV147" i="12" a="1"/>
  <c r="CV147" i="12" s="1"/>
  <c r="CV148" i="12" a="1"/>
  <c r="CV148" i="12" s="1"/>
  <c r="CV19" i="12"/>
  <c r="CV45" i="12"/>
  <c r="CV53" i="12"/>
  <c r="CV67" i="12"/>
  <c r="CV77" i="12"/>
  <c r="CV87" i="12"/>
  <c r="CV93" i="12"/>
  <c r="CV109" i="12"/>
  <c r="CW5" i="12" a="1"/>
  <c r="CW5" i="12" s="1"/>
  <c r="CW7" i="12" a="1"/>
  <c r="CW7" i="12" s="1"/>
  <c r="CW6" i="12" a="1"/>
  <c r="CW6" i="12" s="1"/>
  <c r="CW8" i="12" a="1"/>
  <c r="CW8" i="12" s="1"/>
  <c r="CW9" i="12" a="1"/>
  <c r="CW9" i="12" s="1"/>
  <c r="CW10" i="12" a="1"/>
  <c r="CW10" i="12" s="1"/>
  <c r="CW11" i="12" a="1"/>
  <c r="CW11" i="12" s="1"/>
  <c r="CW12" i="12" a="1"/>
  <c r="CW12" i="12" s="1"/>
  <c r="CW13" i="12" a="1"/>
  <c r="CW13" i="12" s="1"/>
  <c r="CW14" i="12" a="1"/>
  <c r="CW14" i="12" s="1"/>
  <c r="CW15" i="12" a="1"/>
  <c r="CW15" i="12" s="1"/>
  <c r="CW16" i="12" a="1"/>
  <c r="CW16" i="12" s="1"/>
  <c r="CW17" i="12" a="1"/>
  <c r="CW17" i="12" s="1"/>
  <c r="CW18" i="12" a="1"/>
  <c r="CW18" i="12" s="1"/>
  <c r="CW19" i="12" a="1"/>
  <c r="CW19" i="12" s="1"/>
  <c r="CW20" i="12" a="1"/>
  <c r="CW20" i="12" s="1"/>
  <c r="CW21" i="12" a="1"/>
  <c r="CW21" i="12" s="1"/>
  <c r="CW22" i="12" a="1"/>
  <c r="CW22" i="12" s="1"/>
  <c r="CW23" i="12" a="1"/>
  <c r="CW23" i="12" s="1"/>
  <c r="CW24" i="12" a="1"/>
  <c r="CW25" i="12" a="1"/>
  <c r="CW25" i="12" s="1"/>
  <c r="CW26" i="12" a="1"/>
  <c r="CW26" i="12" s="1"/>
  <c r="CW27" i="12" a="1"/>
  <c r="CW27" i="12" s="1"/>
  <c r="CW28" i="12" a="1"/>
  <c r="CW28" i="12" s="1"/>
  <c r="CW29" i="12" a="1"/>
  <c r="CW29" i="12" s="1"/>
  <c r="CW30" i="12" a="1"/>
  <c r="CW31" i="12" a="1"/>
  <c r="CW31" i="12" s="1"/>
  <c r="CW32" i="12" a="1"/>
  <c r="CW32" i="12" s="1"/>
  <c r="CW33" i="12" a="1"/>
  <c r="CW33" i="12" s="1"/>
  <c r="CW34" i="12" a="1"/>
  <c r="CW34" i="12" s="1"/>
  <c r="CW35" i="12" a="1"/>
  <c r="CW35" i="12" s="1"/>
  <c r="CW36" i="12" a="1"/>
  <c r="CW36" i="12" s="1"/>
  <c r="CW37" i="12" a="1"/>
  <c r="CW37" i="12" s="1"/>
  <c r="CW38" i="12" a="1"/>
  <c r="CW38" i="12" s="1"/>
  <c r="CW39" i="12" a="1"/>
  <c r="CW39" i="12" s="1"/>
  <c r="CW40" i="12" a="1"/>
  <c r="CW40" i="12" s="1"/>
  <c r="CW41" i="12" a="1"/>
  <c r="CW41" i="12" s="1"/>
  <c r="CW42" i="12" a="1"/>
  <c r="CW42" i="12" s="1"/>
  <c r="CW43" i="12" a="1"/>
  <c r="CW43" i="12" s="1"/>
  <c r="CW44" i="12" a="1"/>
  <c r="CW44" i="12" s="1"/>
  <c r="CW45" i="12" a="1"/>
  <c r="CW45" i="12" s="1"/>
  <c r="CW46" i="12" a="1"/>
  <c r="CW46" i="12" s="1"/>
  <c r="CW47" i="12" a="1"/>
  <c r="CW47" i="12" s="1"/>
  <c r="CW48" i="12" a="1"/>
  <c r="CW48" i="12" s="1"/>
  <c r="CW49" i="12" a="1"/>
  <c r="CW49" i="12" s="1"/>
  <c r="CW50" i="12" a="1"/>
  <c r="CW50" i="12" s="1"/>
  <c r="CW51" i="12" a="1"/>
  <c r="CW51" i="12" s="1"/>
  <c r="CW52" i="12" a="1"/>
  <c r="CW52" i="12" s="1"/>
  <c r="CW53" i="12" a="1"/>
  <c r="CW53" i="12" s="1"/>
  <c r="CW54" i="12" a="1"/>
  <c r="CW55" i="12" a="1"/>
  <c r="CW55" i="12" s="1"/>
  <c r="CW56" i="12" a="1"/>
  <c r="CW56" i="12" s="1"/>
  <c r="CW57" i="12" a="1"/>
  <c r="CW57" i="12" s="1"/>
  <c r="CW58" i="12" a="1"/>
  <c r="CW58" i="12" s="1"/>
  <c r="CW59" i="12" a="1"/>
  <c r="CW59" i="12" s="1"/>
  <c r="CW60" i="12" a="1"/>
  <c r="CW60" i="12" s="1"/>
  <c r="CW61" i="12" a="1"/>
  <c r="CW61" i="12" s="1"/>
  <c r="CW62" i="12" a="1"/>
  <c r="CW62" i="12" s="1"/>
  <c r="CW63" i="12" a="1"/>
  <c r="CW63" i="12" s="1"/>
  <c r="CW64" i="12" a="1"/>
  <c r="CW64" i="12" s="1"/>
  <c r="CW65" i="12" a="1"/>
  <c r="CW65" i="12" s="1"/>
  <c r="CW66" i="12" a="1"/>
  <c r="CW66" i="12" s="1"/>
  <c r="CW67" i="12" a="1"/>
  <c r="CW67" i="12" s="1"/>
  <c r="CW68" i="12" a="1"/>
  <c r="CW68" i="12" s="1"/>
  <c r="CW69" i="12" a="1"/>
  <c r="CW69" i="12" s="1"/>
  <c r="CW70" i="12" a="1"/>
  <c r="CW70" i="12" s="1"/>
  <c r="CW71" i="12" a="1"/>
  <c r="CW71" i="12" s="1"/>
  <c r="CW72" i="12" a="1"/>
  <c r="CW72" i="12" s="1"/>
  <c r="CW73" i="12" a="1"/>
  <c r="CW73" i="12" s="1"/>
  <c r="CW74" i="12" a="1"/>
  <c r="CW74" i="12" s="1"/>
  <c r="CW75" i="12" a="1"/>
  <c r="CW75" i="12" s="1"/>
  <c r="CW76" i="12" a="1"/>
  <c r="CW76" i="12" s="1"/>
  <c r="CW77" i="12" a="1"/>
  <c r="CW77" i="12" s="1"/>
  <c r="CW78" i="12" a="1"/>
  <c r="CW78" i="12" s="1"/>
  <c r="CW79" i="12" a="1"/>
  <c r="CW79" i="12" s="1"/>
  <c r="CW80" i="12" a="1"/>
  <c r="CW80" i="12" s="1"/>
  <c r="CW81" i="12" a="1"/>
  <c r="CW81" i="12" s="1"/>
  <c r="CW82" i="12" a="1"/>
  <c r="CW82" i="12" s="1"/>
  <c r="CW83" i="12" a="1"/>
  <c r="CW83" i="12" s="1"/>
  <c r="CW84" i="12" a="1"/>
  <c r="CW84" i="12" s="1"/>
  <c r="CW85" i="12" a="1"/>
  <c r="CW85" i="12" s="1"/>
  <c r="CW86" i="12" a="1"/>
  <c r="CW86" i="12" s="1"/>
  <c r="CW87" i="12" a="1"/>
  <c r="CW87" i="12" s="1"/>
  <c r="CW88" i="12" a="1"/>
  <c r="CW88" i="12" s="1"/>
  <c r="CW89" i="12" a="1"/>
  <c r="CW89" i="12" s="1"/>
  <c r="CW90" i="12" a="1"/>
  <c r="CW90" i="12" s="1"/>
  <c r="CW91" i="12" a="1"/>
  <c r="CW91" i="12" s="1"/>
  <c r="CW92" i="12" a="1"/>
  <c r="CW92" i="12" s="1"/>
  <c r="CW93" i="12" a="1"/>
  <c r="CW93" i="12" s="1"/>
  <c r="CW94" i="12" a="1"/>
  <c r="CW94" i="12" s="1"/>
  <c r="CW95" i="12" a="1"/>
  <c r="CW95" i="12" s="1"/>
  <c r="CW96" i="12" a="1"/>
  <c r="CW96" i="12" s="1"/>
  <c r="CW97" i="12" a="1"/>
  <c r="CW97" i="12" s="1"/>
  <c r="CW98" i="12" a="1"/>
  <c r="CW98" i="12" s="1"/>
  <c r="CW99" i="12" a="1"/>
  <c r="CW99" i="12" s="1"/>
  <c r="CW100" i="12" a="1"/>
  <c r="CW100" i="12" s="1"/>
  <c r="CW101" i="12" a="1"/>
  <c r="CW101" i="12" s="1"/>
  <c r="CW102" i="12" a="1"/>
  <c r="CW102" i="12" s="1"/>
  <c r="CW103" i="12" a="1"/>
  <c r="CW103" i="12" s="1"/>
  <c r="CW104" i="12" a="1"/>
  <c r="CW104" i="12" s="1"/>
  <c r="CW105" i="12" a="1"/>
  <c r="CW105" i="12" s="1"/>
  <c r="CW106" i="12" a="1"/>
  <c r="CW106" i="12" s="1"/>
  <c r="CW107" i="12" a="1"/>
  <c r="CW107" i="12" s="1"/>
  <c r="CW108" i="12" a="1"/>
  <c r="CW108" i="12" s="1"/>
  <c r="CW109" i="12" a="1"/>
  <c r="CW109" i="12" s="1"/>
  <c r="CW110" i="12" a="1"/>
  <c r="CW110" i="12" s="1"/>
  <c r="CW111" i="12" a="1"/>
  <c r="CW111" i="12" s="1"/>
  <c r="CW112" i="12" a="1"/>
  <c r="CW112" i="12" s="1"/>
  <c r="CW113" i="12" a="1"/>
  <c r="CW113" i="12" s="1"/>
  <c r="CW114" i="12" a="1"/>
  <c r="CW114" i="12" s="1"/>
  <c r="CW115" i="12" a="1"/>
  <c r="CW115" i="12" s="1"/>
  <c r="CW116" i="12" a="1"/>
  <c r="CW116" i="12" s="1"/>
  <c r="CW117" i="12" a="1"/>
  <c r="CW117" i="12" s="1"/>
  <c r="CW118" i="12" a="1"/>
  <c r="CW118" i="12" s="1"/>
  <c r="CW119" i="12" a="1"/>
  <c r="CW119" i="12" s="1"/>
  <c r="CW120" i="12" a="1"/>
  <c r="CW120" i="12" s="1"/>
  <c r="CW121" i="12" a="1"/>
  <c r="CW121" i="12" s="1"/>
  <c r="CW122" i="12" a="1"/>
  <c r="CW122" i="12" s="1"/>
  <c r="CW123" i="12" a="1"/>
  <c r="CW123" i="12" s="1"/>
  <c r="CW124" i="12" a="1"/>
  <c r="CW124" i="12" s="1"/>
  <c r="CW125" i="12" a="1"/>
  <c r="CW125" i="12" s="1"/>
  <c r="CW126" i="12" a="1"/>
  <c r="CW126" i="12" s="1"/>
  <c r="CW127" i="12" a="1"/>
  <c r="CW127" i="12" s="1"/>
  <c r="CW128" i="12" a="1"/>
  <c r="CW128" i="12" s="1"/>
  <c r="CW129" i="12" a="1"/>
  <c r="CW129" i="12" s="1"/>
  <c r="CW130" i="12" a="1"/>
  <c r="CW130" i="12" s="1"/>
  <c r="CW131" i="12" a="1"/>
  <c r="CW131" i="12" s="1"/>
  <c r="CW132" i="12" a="1"/>
  <c r="CW132" i="12" s="1"/>
  <c r="CW133" i="12" a="1"/>
  <c r="CW133" i="12" s="1"/>
  <c r="CW134" i="12" a="1"/>
  <c r="CW134" i="12" s="1"/>
  <c r="CW135" i="12" a="1"/>
  <c r="CW135" i="12" s="1"/>
  <c r="CW136" i="12" a="1"/>
  <c r="CW136" i="12" s="1"/>
  <c r="CW137" i="12" a="1"/>
  <c r="CW137" i="12" s="1"/>
  <c r="CW138" i="12" a="1"/>
  <c r="CW138" i="12" s="1"/>
  <c r="CW139" i="12" a="1"/>
  <c r="CW139" i="12" s="1"/>
  <c r="CW140" i="12" a="1"/>
  <c r="CW140" i="12" s="1"/>
  <c r="CW141" i="12" a="1"/>
  <c r="CW141" i="12" s="1"/>
  <c r="CW142" i="12" a="1"/>
  <c r="CW142" i="12" s="1"/>
  <c r="CW143" i="12" a="1"/>
  <c r="CW143" i="12" s="1"/>
  <c r="CW144" i="12" a="1"/>
  <c r="CW144" i="12" s="1"/>
  <c r="CW145" i="12" a="1"/>
  <c r="CW145" i="12" s="1"/>
  <c r="CW146" i="12" a="1"/>
  <c r="CW146" i="12" s="1"/>
  <c r="CW147" i="12" a="1"/>
  <c r="CW147" i="12" s="1"/>
  <c r="CW148" i="12" a="1"/>
  <c r="CW148" i="12" s="1"/>
  <c r="CW24" i="12"/>
  <c r="CW30" i="12"/>
  <c r="CW54" i="12"/>
  <c r="AB25" i="11"/>
  <c r="AB30" i="11"/>
  <c r="AB43" i="11"/>
  <c r="AB44" i="11"/>
  <c r="AB6" i="11"/>
  <c r="AB7" i="11"/>
  <c r="AB23" i="11"/>
  <c r="AB9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4" i="11"/>
  <c r="AB27" i="11"/>
  <c r="AB28" i="11"/>
  <c r="AB29" i="11"/>
  <c r="AB37" i="11"/>
  <c r="AB33" i="11"/>
  <c r="AB34" i="11"/>
  <c r="AB36" i="11"/>
  <c r="AB38" i="11"/>
  <c r="AB42" i="11"/>
  <c r="CW4" i="12" l="1"/>
  <c r="CV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<sst xmlns="http://schemas.openxmlformats.org/spreadsheetml/2006/main" count="1052" uniqueCount="105">
  <si>
    <t>O/T</t>
  </si>
  <si>
    <t>RSA</t>
  </si>
  <si>
    <t>Pebble Africa</t>
  </si>
  <si>
    <t>Week 1</t>
  </si>
  <si>
    <t>Week 2</t>
  </si>
  <si>
    <t>Week 3</t>
  </si>
  <si>
    <t>Week 4</t>
  </si>
  <si>
    <t>Week 5</t>
  </si>
  <si>
    <t>No</t>
  </si>
  <si>
    <t>August</t>
  </si>
  <si>
    <t>April</t>
  </si>
  <si>
    <t>June</t>
  </si>
  <si>
    <t>March</t>
  </si>
  <si>
    <t>December</t>
  </si>
  <si>
    <t>May</t>
  </si>
  <si>
    <t>September</t>
  </si>
  <si>
    <t>February</t>
  </si>
  <si>
    <t>October</t>
  </si>
  <si>
    <t>January</t>
  </si>
  <si>
    <t>July</t>
  </si>
  <si>
    <t>November</t>
  </si>
  <si>
    <t>Total</t>
  </si>
  <si>
    <t>3S</t>
  </si>
  <si>
    <t>M</t>
  </si>
  <si>
    <t>3South Group &amp; Morara Farming</t>
  </si>
  <si>
    <t>Mozam</t>
  </si>
  <si>
    <t>Zim</t>
  </si>
  <si>
    <t>NB! Can NOT undo!</t>
  </si>
  <si>
    <t>Voucher file name:</t>
  </si>
  <si>
    <t>Last phone no row:</t>
  </si>
  <si>
    <t>Friday</t>
  </si>
  <si>
    <t>Saturday</t>
  </si>
  <si>
    <t>Sunday</t>
  </si>
  <si>
    <t>Monday</t>
  </si>
  <si>
    <t>Tuesday</t>
  </si>
  <si>
    <t>Wednesday</t>
  </si>
  <si>
    <t>Thursday</t>
  </si>
  <si>
    <t>Pin</t>
  </si>
  <si>
    <t>Week 6</t>
  </si>
  <si>
    <t>Week 7</t>
  </si>
  <si>
    <t>Total Hours</t>
  </si>
  <si>
    <t>Vaccine 1</t>
  </si>
  <si>
    <t>Vaccine 2</t>
  </si>
  <si>
    <t>Vaccine 3</t>
  </si>
  <si>
    <t>Vaccine 4</t>
  </si>
  <si>
    <t>Vaccine 5</t>
  </si>
  <si>
    <t>Vaccine 6</t>
  </si>
  <si>
    <t>Date</t>
  </si>
  <si>
    <t>Vac Name</t>
  </si>
  <si>
    <t>Vac Number</t>
  </si>
  <si>
    <t>Nickname</t>
  </si>
  <si>
    <t>Name</t>
  </si>
  <si>
    <t>Surname</t>
  </si>
  <si>
    <t>Salary</t>
  </si>
  <si>
    <t>Phone</t>
  </si>
  <si>
    <t>Birthday</t>
  </si>
  <si>
    <t>Birth month</t>
  </si>
  <si>
    <t>ID/Passport</t>
  </si>
  <si>
    <t>Passport start</t>
  </si>
  <si>
    <t>Passport expire</t>
  </si>
  <si>
    <t>Nationality</t>
  </si>
  <si>
    <t>Start date</t>
  </si>
  <si>
    <t>Employer</t>
  </si>
  <si>
    <t>Ordinary leave</t>
  </si>
  <si>
    <t>Sick leave</t>
  </si>
  <si>
    <t>Month</t>
  </si>
  <si>
    <t>Number of workers</t>
  </si>
  <si>
    <t>Total South Africans</t>
  </si>
  <si>
    <t>Other leave</t>
  </si>
  <si>
    <t>Work</t>
  </si>
  <si>
    <t>Overtime</t>
  </si>
  <si>
    <t>Normal</t>
  </si>
  <si>
    <t>Sick</t>
  </si>
  <si>
    <t>Other</t>
  </si>
  <si>
    <t>Carried over</t>
  </si>
  <si>
    <t>Total workers</t>
  </si>
  <si>
    <t>3South Hours</t>
  </si>
  <si>
    <t>Morara Hours</t>
  </si>
  <si>
    <t>Job designation</t>
  </si>
  <si>
    <t>Day labour R/hour</t>
  </si>
  <si>
    <t>Workers hours/month</t>
  </si>
  <si>
    <t>Data</t>
  </si>
  <si>
    <t>3South</t>
  </si>
  <si>
    <t>General worker</t>
  </si>
  <si>
    <t>Farm worker</t>
  </si>
  <si>
    <t>Day workers information - September</t>
  </si>
  <si>
    <t>Payment</t>
  </si>
  <si>
    <t>Bank</t>
  </si>
  <si>
    <t>Instant</t>
  </si>
  <si>
    <t>Payment type</t>
  </si>
  <si>
    <t>NB! Select month!</t>
  </si>
  <si>
    <t>Borrow</t>
  </si>
  <si>
    <t>Pay</t>
  </si>
  <si>
    <t>Dian1</t>
  </si>
  <si>
    <t>Dian2</t>
  </si>
  <si>
    <t>Dian3</t>
  </si>
  <si>
    <t>Morara</t>
  </si>
  <si>
    <t>Total foreigners</t>
  </si>
  <si>
    <t>van Schalkwyk1</t>
  </si>
  <si>
    <t>van Schalkwyk2</t>
  </si>
  <si>
    <t>van Schalkwyk3</t>
  </si>
  <si>
    <t>Dian</t>
  </si>
  <si>
    <t>van</t>
  </si>
  <si>
    <t>LAST</t>
  </si>
  <si>
    <t>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</si>
</sst>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]dd/mm/yyyy;@" x16r2:formatCode16="[$-en-GD,1]dd/mm/yyyy;@"/>
    <numFmt numFmtId="165" formatCode="[$R-1C09]#,##0.00"/>
    <numFmt numFmtId="166" formatCode="yyyy\-mm\-dd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8A00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4" fillId="3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</cellStyleXfs>
  <cellXfs count="82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11" fillId="13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/>
    </xf>
    <xf numFmtId="165" fontId="11" fillId="13" borderId="8" xfId="0" applyNumberFormat="1" applyFont="1" applyFill="1" applyBorder="1" applyAlignment="1">
      <alignment horizontal="center" vertical="center"/>
    </xf>
    <xf numFmtId="1" fontId="11" fillId="13" borderId="8" xfId="0" applyNumberFormat="1" applyFont="1" applyFill="1" applyBorder="1" applyAlignment="1">
      <alignment horizontal="center" vertical="center"/>
    </xf>
    <xf numFmtId="164" fontId="11" fillId="13" borderId="8" xfId="0" applyNumberFormat="1" applyFont="1" applyFill="1" applyBorder="1" applyAlignment="1">
      <alignment horizontal="center" vertical="center"/>
    </xf>
    <xf numFmtId="17" fontId="11" fillId="13" borderId="8" xfId="0" applyNumberFormat="1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/>
    </xf>
    <xf numFmtId="165" fontId="1" fillId="2" borderId="8" xfId="1" applyNumberFormat="1" applyFont="1" applyFill="1" applyBorder="1" applyAlignment="1">
      <alignment horizontal="center" vertical="center"/>
    </xf>
    <xf numFmtId="0" fontId="11" fillId="13" borderId="10" xfId="0" applyFont="1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2" fillId="2" borderId="8" xfId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0" fontId="0" fillId="12" borderId="0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16" fontId="11" fillId="14" borderId="8" xfId="2" applyNumberFormat="1" applyFont="1" applyFill="1" applyBorder="1" applyAlignment="1">
      <alignment horizontal="center"/>
    </xf>
    <xf numFmtId="0" fontId="11" fillId="14" borderId="0" xfId="2" applyFont="1" applyFill="1" applyBorder="1" applyAlignment="1">
      <alignment horizontal="center" vertical="center" wrapText="1"/>
    </xf>
    <xf numFmtId="0" fontId="0" fillId="5" borderId="8" xfId="3" applyFont="1" applyFill="1" applyBorder="1" applyAlignment="1">
      <alignment horizontal="center" vertical="center"/>
    </xf>
    <xf numFmtId="0" fontId="0" fillId="6" borderId="8" xfId="4" applyFont="1" applyFill="1" applyBorder="1" applyAlignment="1">
      <alignment horizontal="center" vertical="center"/>
    </xf>
    <xf numFmtId="0" fontId="0" fillId="10" borderId="8" xfId="5" applyFont="1" applyFill="1" applyBorder="1" applyAlignment="1">
      <alignment horizontal="center" vertical="center"/>
    </xf>
    <xf numFmtId="0" fontId="0" fillId="4" borderId="8" xfId="6" applyFont="1" applyFill="1" applyBorder="1" applyAlignment="1">
      <alignment horizontal="center" vertical="center"/>
    </xf>
    <xf numFmtId="0" fontId="0" fillId="11" borderId="8" xfId="7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11" fillId="13" borderId="6" xfId="0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/>
    </xf>
    <xf numFmtId="0" fontId="11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11" fillId="13" borderId="10" xfId="0" applyFont="1" applyFill="1" applyBorder="1" applyAlignment="1">
      <alignment horizontal="center" vertical="center"/>
    </xf>
    <xf numFmtId="49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/>
    </xf>
    <xf numFmtId="0" fontId="11" fillId="13" borderId="8" xfId="0" applyFont="1" applyFill="1" applyBorder="1" applyAlignment="1">
      <alignment horizontal="center"/>
    </xf>
    <xf numFmtId="0" fontId="11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8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11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11" fillId="14" borderId="9" xfId="2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/>
    </xf>
    <xf numFmtId="0" fontId="11" fillId="14" borderId="8" xfId="2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0" fontId="12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11" fillId="14" borderId="0" xfId="2" applyFont="1" applyFill="1" applyBorder="1" applyAlignment="1">
      <alignment horizontal="center" vertical="center" wrapText="1"/>
    </xf>
    <xf numFmtId="0" fontId="12" fillId="13" borderId="10" xfId="0" applyFont="1" applyFill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 textRotation="135"/>
    </xf>
    <xf numFmtId="0" fontId="11" fillId="13" borderId="10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12" fillId="13" borderId="9" xfId="0" applyFont="1" applyFill="1" applyBorder="1" applyAlignment="1">
      <alignment horizontal="center" vertical="center"/>
    </xf>
    <xf numFmtId="166" fontId="1" fillId="0" borderId="9" xfId="0" applyNumberFormat="1" applyFont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11" fillId="14" borderId="2" xfId="2" applyFont="1" applyFill="1" applyBorder="1" applyAlignment="1">
      <alignment horizontal="center" vertical="center" wrapText="1"/>
    </xf>
    <xf numFmtId="0" fontId="11" fillId="14" borderId="3" xfId="2" applyFont="1" applyFill="1" applyBorder="1" applyAlignment="1">
      <alignment horizontal="center" vertical="center" wrapText="1"/>
    </xf>
    <xf numFmtId="0" fontId="11" fillId="14" borderId="4" xfId="2" applyFont="1" applyFill="1" applyBorder="1" applyAlignment="1">
      <alignment horizontal="center" vertical="center" wrapText="1"/>
    </xf>
    <xf numFmtId="0" fontId="11" fillId="14" borderId="5" xfId="2" applyFont="1" applyFill="1" applyBorder="1" applyAlignment="1">
      <alignment horizontal="center" vertical="center" wrapText="1"/>
    </xf>
    <xf numFmtId="0" fontId="14" fillId="13" borderId="8" xfId="0" applyFont="1" applyFill="1" applyBorder="1" applyAlignment="1">
      <alignment horizontal="center" vertical="center" textRotation="135" wrapText="1"/>
    </xf>
    <xf numFmtId="0" fontId="3" fillId="4" borderId="8" xfId="0" applyFont="1" applyFill="1" applyBorder="1" applyAlignment="1">
      <alignment horizontal="center" vertical="center" textRotation="135"/>
    </xf>
    <xf numFmtId="0" fontId="11" fillId="14" borderId="8" xfId="2" applyFont="1" applyFill="1" applyBorder="1" applyAlignment="1">
      <alignment horizontal="center" vertical="center" wrapText="1"/>
    </xf>
    <xf numFmtId="0" fontId="14" fillId="13" borderId="8" xfId="0" applyFont="1" applyFill="1" applyBorder="1" applyAlignment="1">
      <alignment horizontal="center" vertical="center" textRotation="45" wrapText="1"/>
    </xf>
    <xf numFmtId="0" fontId="10" fillId="13" borderId="8" xfId="0" applyFont="1" applyFill="1" applyBorder="1" applyAlignment="1">
      <alignment horizontal="center" vertical="center"/>
    </xf>
  </cellXfs>
  <cellStyles count="8">
    <cellStyle name="20% - Accent1" xfId="3" builtinId="30"/>
    <cellStyle name="20% - Accent2" xfId="4" builtinId="34"/>
    <cellStyle name="20% - Accent4" xfId="5" builtinId="42"/>
    <cellStyle name="20% - Accent5" xfId="6" builtinId="46"/>
    <cellStyle name="20% - Accent6" xfId="7" builtinId="50"/>
    <cellStyle name="Bad" xfId="2" builtinId="27"/>
    <cellStyle name="Calculation" xfId="1" builtinId="22"/>
    <cellStyle name="Normal" xfId="0" builtinId="0"/>
  </cellStyles>
  <dxfs count="61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[$]dd/mm/yyyy;@" x16r2:formatCode16="[$-en-GD,1]dd/mm/yyyy;@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A0000"/>
      <color rgb="FFFFAEA6"/>
      <color rgb="FFFF6969"/>
      <color rgb="FFDAF0FE"/>
      <color rgb="FFBBE4FD"/>
      <color rgb="FF410C39"/>
      <color rgb="FF175C7F"/>
      <color rgb="FF175C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Payslips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0</xdr:colOff>
          <xdr:row>0</xdr:row>
          <xdr:rowOff>0</xdr:rowOff>
        </xdr:from>
        <xdr:to>
          <xdr:col>107</xdr:col>
          <xdr:colOff>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30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Voucher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0</xdr:colOff>
          <xdr:row>0</xdr:row>
          <xdr:rowOff>0</xdr:rowOff>
        </xdr:from>
        <xdr:to>
          <xdr:col>104</xdr:col>
          <xdr:colOff>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0</xdr:colOff>
          <xdr:row>0</xdr:row>
          <xdr:rowOff>0</xdr:rowOff>
        </xdr:from>
        <xdr:to>
          <xdr:col>104</xdr:col>
          <xdr:colOff>0</xdr:colOff>
          <xdr:row>2</xdr:row>
          <xdr:rowOff>0</xdr:rowOff>
        </xdr:to>
        <xdr:sp macro="" textlink="">
          <xdr:nvSpPr>
            <xdr:cNvPr id="9218" name="Button 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Voucher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14338" name="Button 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88A491-2CE8-4443-BF6E-28746F2254A2}" name="Nationality_list" displayName="Nationality_list" ref="A1:A4" totalsRowShown="0" headerRowDxfId="26" dataDxfId="24" headerRowBorderDxfId="25" tableBorderDxfId="23" totalsRowBorderDxfId="22">
  <autoFilter ref="A1:A4" xr:uid="{8188A491-2CE8-4443-BF6E-28746F2254A2}"/>
  <tableColumns count="1">
    <tableColumn id="1" xr3:uid="{ABC07914-C7F5-4A98-8D66-C3CBE472FDC5}" name="Nationalit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FDED82-94C9-4EE1-B918-F94E9925084D}" name="Job_designation_list" displayName="Job_designation_list" ref="B1:B3" totalsRowShown="0" headerRowDxfId="20" dataDxfId="18" headerRowBorderDxfId="19" tableBorderDxfId="17" totalsRowBorderDxfId="16">
  <autoFilter ref="B1:B3" xr:uid="{1FFDED82-94C9-4EE1-B918-F94E9925084D}"/>
  <tableColumns count="1">
    <tableColumn id="1" xr3:uid="{60C88705-0C65-4B20-9DBE-8CDD14E85BE8}" name="Job designa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E74956-464B-48AE-9218-CA4E614B7998}" name="Employer_list" displayName="Employer_list" ref="C1:C4" totalsRowShown="0" headerRowDxfId="14" dataDxfId="12" headerRowBorderDxfId="13" tableBorderDxfId="11" totalsRowBorderDxfId="10">
  <autoFilter ref="C1:C4" xr:uid="{79E74956-464B-48AE-9218-CA4E614B7998}"/>
  <sortState xmlns:xlrd2="http://schemas.microsoft.com/office/spreadsheetml/2017/richdata2" ref="C2:C3">
    <sortCondition ref="C1:C3"/>
  </sortState>
  <tableColumns count="1">
    <tableColumn id="1" xr3:uid="{E2C57234-99DE-44E4-BA3A-B78DA85F4E03}" name="Employer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666293-6EDE-4BAC-8F8D-7D458E786D41}" name="Month_list" displayName="Month_list" ref="D1:D13" totalsRowShown="0" headerRowDxfId="8" dataDxfId="6" headerRowBorderDxfId="7" tableBorderDxfId="5" totalsRowBorderDxfId="4">
  <autoFilter ref="D1:D13" xr:uid="{68666293-6EDE-4BAC-8F8D-7D458E786D41}"/>
  <tableColumns count="1">
    <tableColumn id="1" xr3:uid="{D32C3B54-42FD-463F-82B1-B156859396D2}" name="Month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323BCD-BA22-4A36-911E-71EEAC239448}" name="Payment_type_list" displayName="Payment_type_list" ref="E1:E3" totalsRowShown="0" headerRowDxfId="2" headerRowBorderDxfId="1" tableBorderDxfId="0">
  <autoFilter ref="E1:E3" xr:uid="{DB323BCD-BA22-4A36-911E-71EEAC239448}"/>
  <tableColumns count="1">
    <tableColumn id="1" xr3:uid="{EFAE6C6A-4C25-4D85-BF37-27D64D80AB91}" name="Paymen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5641A-8EE4-4C37-8001-40675E63C1D5}">
  <sheetPr codeName="Sheet1">
    <pageSetUpPr fitToPage="1"/>
  </sheetPr>
  <dimension ref="A1:S58"/>
  <sheetViews>
    <sheetView tabSelected="1" zoomScale="80" zoomScaleNormal="80" workbookViewId="0">
      <selection activeCell="G26" sqref="G26"/>
    </sheetView>
  </sheetViews>
  <sheetFormatPr defaultColWidth="14.28515625" defaultRowHeight="15" x14ac:dyDescent="0.25"/>
  <cols>
    <col min="1" max="4" width="15.7109375" style="49" customWidth="1"/>
    <col min="5" max="5" width="17.85546875" style="55" bestFit="1" customWidth="1"/>
    <col min="6" max="9" width="15.7109375" style="49" customWidth="1"/>
    <col min="10" max="10" width="15.7109375" style="52" customWidth="1"/>
    <col min="11" max="12" width="15.7109375" style="54" customWidth="1"/>
    <col min="13" max="13" width="15.7109375" style="49" customWidth="1"/>
    <col min="14" max="14" width="15.7109375" style="51" customWidth="1"/>
    <col min="15" max="19" width="15.7109375" style="49" customWidth="1"/>
    <col min="20" max="16384" width="14.28515625" style="49"/>
  </cols>
  <sheetData>
    <row r="1" spans="1:19" x14ac:dyDescent="0.25">
      <c r="B1" s="61" t="s">
        <v>81</v>
      </c>
      <c r="C1" s="61"/>
      <c r="D1" s="61"/>
      <c r="E1" s="61"/>
      <c r="J1" s="50"/>
      <c r="K1" s="60" t="s">
        <v>27</v>
      </c>
      <c r="L1" s="60"/>
      <c r="M1" s="51"/>
      <c r="N1" s="49"/>
    </row>
    <row r="2" spans="1:19" x14ac:dyDescent="0.25">
      <c r="B2" s="59" t="s">
        <v>65</v>
      </c>
      <c r="C2" s="59"/>
      <c r="D2" s="30" t="s">
        <v>18</v>
      </c>
      <c r="E2" s="58" t="s">
        <v>90</v>
      </c>
      <c r="F2" s="52"/>
      <c r="J2" s="49"/>
      <c r="K2" s="49"/>
      <c r="L2" s="49"/>
      <c r="N2" s="49"/>
    </row>
    <row r="3" spans="1:19" x14ac:dyDescent="0.25">
      <c r="B3" s="59" t="s">
        <v>66</v>
      </c>
      <c r="C3" s="59"/>
      <c r="D3" s="53">
        <f>COUNTA(D9:D58)</f>
        <v>3</v>
      </c>
      <c r="E3"/>
      <c r="F3" s="52"/>
      <c r="J3" s="49"/>
      <c r="K3" s="49"/>
      <c r="L3" s="49"/>
      <c r="N3" s="49"/>
    </row>
    <row r="4" spans="1:19" x14ac:dyDescent="0.25">
      <c r="B4" s="59" t="s">
        <v>67</v>
      </c>
      <c r="C4" s="59"/>
      <c r="D4" s="53">
        <f>COUNTIF(M9:M58,"RSA")</f>
        <v>3</v>
      </c>
      <c r="E4"/>
      <c r="F4" s="52"/>
      <c r="J4" s="49"/>
      <c r="K4" s="49"/>
      <c r="L4" s="49"/>
      <c r="N4" s="49"/>
    </row>
    <row r="5" spans="1:19" x14ac:dyDescent="0.25">
      <c r="B5" s="59" t="s">
        <v>97</v>
      </c>
      <c r="C5" s="59"/>
      <c r="D5" s="53">
        <f>COUNTIF(M9:M58,"Mozam")+COUNTIF(M9:M58,"Zim")</f>
        <v>0</v>
      </c>
      <c r="E5"/>
      <c r="F5" s="52"/>
      <c r="J5" s="49"/>
      <c r="K5" s="49"/>
      <c r="L5" s="49"/>
      <c r="N5" s="49"/>
    </row>
    <row r="6" spans="1:19" x14ac:dyDescent="0.25">
      <c r="E6" s="49"/>
      <c r="J6" s="49"/>
      <c r="L6" s="49"/>
      <c r="M6" s="51"/>
      <c r="N6" s="49"/>
    </row>
    <row r="8" spans="1:19" s="50" customFormat="1" x14ac:dyDescent="0.25">
      <c r="A8" s="48" t="s">
        <v>8</v>
      </c>
      <c r="B8" s="48" t="s">
        <v>51</v>
      </c>
      <c r="C8" s="48" t="s">
        <v>52</v>
      </c>
      <c r="D8" s="47" t="s">
        <v>50</v>
      </c>
      <c r="E8" s="15" t="s">
        <v>53</v>
      </c>
      <c r="F8" s="48" t="s">
        <v>54</v>
      </c>
      <c r="G8" s="48" t="s">
        <v>86</v>
      </c>
      <c r="H8" s="48" t="s">
        <v>55</v>
      </c>
      <c r="I8" s="48" t="s">
        <v>56</v>
      </c>
      <c r="J8" s="16" t="s">
        <v>57</v>
      </c>
      <c r="K8" s="17" t="s">
        <v>58</v>
      </c>
      <c r="L8" s="17" t="s">
        <v>59</v>
      </c>
      <c r="M8" s="48" t="s">
        <v>60</v>
      </c>
      <c r="N8" s="18" t="s">
        <v>61</v>
      </c>
      <c r="O8" s="48" t="s">
        <v>78</v>
      </c>
      <c r="P8" s="48" t="s">
        <v>62</v>
      </c>
      <c r="Q8" s="48" t="s">
        <v>63</v>
      </c>
      <c r="R8" s="48" t="s">
        <v>64</v>
      </c>
      <c r="S8" s="48" t="s">
        <v>68</v>
      </c>
    </row>
    <row r="9" spans="1:19" x14ac:dyDescent="0.25">
      <c r="A9" s="49">
        <v>1</v>
      </c>
      <c r="B9" s="49" t="s">
        <v>101</v>
      </c>
      <c r="C9" s="49" t="s">
        <v>98</v>
      </c>
      <c r="D9" s="49" t="s">
        <v>93</v>
      </c>
      <c r="E9" s="49">
        <v>3000</v>
      </c>
      <c r="F9" s="49">
        <v>27661790961</v>
      </c>
      <c r="G9" s="56" t="s">
        <v>87</v>
      </c>
      <c r="H9" s="57"/>
      <c r="I9" s="49" t="s">
        <v>18</v>
      </c>
      <c r="J9" s="52">
        <v>8901275115088</v>
      </c>
      <c r="K9" s="57"/>
      <c r="L9" s="57"/>
      <c r="M9" s="49" t="s">
        <v>1</v>
      </c>
      <c r="N9" s="57">
        <v>44562</v>
      </c>
      <c r="O9" s="49" t="s">
        <v>84</v>
      </c>
      <c r="P9" s="49" t="s">
        <v>82</v>
      </c>
    </row>
    <row r="10" spans="1:19" x14ac:dyDescent="0.25">
      <c r="A10" s="49">
        <v>2</v>
      </c>
      <c r="B10" s="49" t="s">
        <v>101</v>
      </c>
      <c r="C10" s="49" t="s">
        <v>99</v>
      </c>
      <c r="D10" s="49" t="s">
        <v>94</v>
      </c>
      <c r="E10" s="49">
        <v>3000</v>
      </c>
      <c r="F10" s="49">
        <v>27661790961</v>
      </c>
      <c r="G10" s="56" t="s">
        <v>87</v>
      </c>
      <c r="I10" s="49" t="s">
        <v>16</v>
      </c>
      <c r="J10" s="52">
        <v>8901275115088</v>
      </c>
      <c r="K10" s="49"/>
      <c r="L10" s="49"/>
      <c r="M10" s="49" t="s">
        <v>1</v>
      </c>
      <c r="N10" s="57">
        <v>44562</v>
      </c>
      <c r="O10" s="49" t="s">
        <v>84</v>
      </c>
      <c r="P10" s="49" t="s">
        <v>2</v>
      </c>
    </row>
    <row r="11" spans="1:19" x14ac:dyDescent="0.25">
      <c r="A11" s="49">
        <v>3</v>
      </c>
      <c r="B11" s="49" t="s">
        <v>101</v>
      </c>
      <c r="C11" s="49" t="s">
        <v>100</v>
      </c>
      <c r="D11" s="49" t="s">
        <v>95</v>
      </c>
      <c r="E11" s="49">
        <v>3000</v>
      </c>
      <c r="F11" s="49">
        <v>27661790961</v>
      </c>
      <c r="G11" s="56" t="s">
        <v>88</v>
      </c>
      <c r="H11" s="57"/>
      <c r="I11" s="49" t="s">
        <v>12</v>
      </c>
      <c r="J11" s="52">
        <v>8901275115088</v>
      </c>
      <c r="K11" s="57"/>
      <c r="L11" s="57"/>
      <c r="M11" s="49" t="s">
        <v>1</v>
      </c>
      <c r="N11" s="57">
        <v>44562</v>
      </c>
      <c r="O11" s="49" t="s">
        <v>84</v>
      </c>
      <c r="P11" s="49" t="s">
        <v>96</v>
      </c>
    </row>
    <row r="12" spans="1:19" x14ac:dyDescent="0.25">
      <c r="A12" s="49">
        <v>4</v>
      </c>
      <c r="E12" s="49"/>
      <c r="G12" s="56"/>
      <c r="K12" s="49"/>
      <c r="L12" s="49"/>
      <c r="N12" s="57"/>
    </row>
    <row r="13" spans="1:19" x14ac:dyDescent="0.25">
      <c r="A13" s="49">
        <v>5</v>
      </c>
      <c r="E13" s="49"/>
      <c r="G13" s="56"/>
      <c r="H13" s="57"/>
      <c r="K13" s="57"/>
      <c r="L13" s="57"/>
      <c r="N13" s="57"/>
    </row>
    <row r="14" spans="1:19" x14ac:dyDescent="0.25">
      <c r="A14" s="49">
        <v>6</v>
      </c>
      <c r="E14" s="49"/>
      <c r="G14" s="56"/>
      <c r="K14" s="49"/>
      <c r="L14" s="49"/>
      <c r="N14" s="57"/>
    </row>
    <row r="15" spans="1:19" x14ac:dyDescent="0.25">
      <c r="A15" s="49">
        <v>7</v>
      </c>
      <c r="E15" s="49"/>
      <c r="G15" s="56"/>
      <c r="H15" s="57"/>
      <c r="K15" s="57"/>
      <c r="L15" s="57"/>
      <c r="N15" s="57"/>
    </row>
    <row r="16" spans="1:19" x14ac:dyDescent="0.25">
      <c r="A16" s="49">
        <v>8</v>
      </c>
      <c r="E16" s="49"/>
      <c r="G16" s="56"/>
      <c r="K16" s="49"/>
      <c r="L16" s="49"/>
      <c r="N16" s="57"/>
    </row>
    <row r="17" spans="1:14" x14ac:dyDescent="0.25">
      <c r="A17" s="49">
        <v>9</v>
      </c>
      <c r="E17" s="49"/>
      <c r="G17" s="56"/>
      <c r="H17" s="57"/>
      <c r="K17" s="57"/>
      <c r="L17" s="57"/>
      <c r="N17" s="57"/>
    </row>
    <row r="18" spans="1:14" x14ac:dyDescent="0.25">
      <c r="A18" s="49">
        <v>10</v>
      </c>
      <c r="E18" s="49"/>
      <c r="G18" s="56"/>
      <c r="K18" s="49"/>
      <c r="L18" s="49"/>
      <c r="N18" s="57"/>
    </row>
    <row r="19" spans="1:14" x14ac:dyDescent="0.25">
      <c r="A19" s="49">
        <v>11</v>
      </c>
      <c r="E19" s="49"/>
      <c r="G19" s="56"/>
      <c r="H19" s="57"/>
      <c r="K19" s="57"/>
      <c r="L19" s="57"/>
      <c r="N19" s="57"/>
    </row>
    <row r="20" spans="1:14" x14ac:dyDescent="0.25">
      <c r="A20" s="49">
        <v>12</v>
      </c>
      <c r="E20" s="49"/>
      <c r="G20" s="56"/>
      <c r="K20" s="49"/>
      <c r="L20" s="49"/>
      <c r="N20" s="57"/>
    </row>
    <row r="21" spans="1:14" x14ac:dyDescent="0.25">
      <c r="A21" s="49">
        <v>13</v>
      </c>
      <c r="E21" s="49"/>
      <c r="G21" s="56"/>
      <c r="H21" s="57"/>
      <c r="K21" s="57"/>
      <c r="L21" s="57"/>
      <c r="N21" s="57"/>
    </row>
    <row r="22" spans="1:14" x14ac:dyDescent="0.25">
      <c r="A22" s="49">
        <v>14</v>
      </c>
      <c r="E22" s="49"/>
      <c r="G22" s="56"/>
      <c r="K22" s="49"/>
      <c r="L22" s="49"/>
      <c r="N22" s="57"/>
    </row>
    <row r="23" spans="1:14" x14ac:dyDescent="0.25">
      <c r="A23" s="49">
        <v>15</v>
      </c>
      <c r="E23" s="49"/>
      <c r="G23" s="56"/>
      <c r="H23" s="57"/>
      <c r="K23" s="57"/>
      <c r="L23" s="57"/>
      <c r="N23" s="57"/>
    </row>
    <row r="24" spans="1:14" x14ac:dyDescent="0.25">
      <c r="A24" s="49">
        <v>16</v>
      </c>
      <c r="E24" s="49"/>
      <c r="G24" s="56"/>
      <c r="K24" s="49"/>
      <c r="L24" s="49"/>
      <c r="N24" s="57"/>
    </row>
    <row r="25" spans="1:14" x14ac:dyDescent="0.25">
      <c r="A25" s="49">
        <v>17</v>
      </c>
      <c r="E25" s="49"/>
      <c r="G25" s="56"/>
      <c r="H25" s="57"/>
      <c r="K25" s="57"/>
      <c r="L25" s="57"/>
      <c r="N25" s="57"/>
    </row>
    <row r="26" spans="1:14" x14ac:dyDescent="0.25">
      <c r="A26" s="49">
        <v>18</v>
      </c>
      <c r="E26" s="49"/>
      <c r="G26" s="56"/>
      <c r="K26" s="49"/>
      <c r="L26" s="49"/>
      <c r="N26" s="57"/>
    </row>
    <row r="27" spans="1:14" x14ac:dyDescent="0.25">
      <c r="A27" s="49">
        <v>19</v>
      </c>
      <c r="E27" s="49"/>
      <c r="G27" s="56"/>
      <c r="H27" s="57"/>
      <c r="K27" s="57"/>
      <c r="L27" s="57"/>
      <c r="N27" s="57"/>
    </row>
    <row r="28" spans="1:14" x14ac:dyDescent="0.25">
      <c r="A28" s="49">
        <v>20</v>
      </c>
      <c r="E28" s="49"/>
      <c r="G28" s="56"/>
      <c r="K28" s="49"/>
      <c r="L28" s="49"/>
      <c r="N28" s="57"/>
    </row>
    <row r="29" spans="1:14" x14ac:dyDescent="0.25">
      <c r="A29" s="49">
        <v>21</v>
      </c>
      <c r="E29" s="49"/>
      <c r="G29" s="56"/>
      <c r="H29" s="57"/>
      <c r="K29" s="57"/>
      <c r="L29" s="57"/>
      <c r="N29" s="57"/>
    </row>
    <row r="30" spans="1:14" x14ac:dyDescent="0.25">
      <c r="A30" s="49">
        <v>22</v>
      </c>
      <c r="E30" s="49"/>
      <c r="G30" s="56"/>
      <c r="K30" s="49"/>
      <c r="L30" s="49"/>
      <c r="N30" s="57"/>
    </row>
    <row r="31" spans="1:14" x14ac:dyDescent="0.25">
      <c r="A31" s="49">
        <v>23</v>
      </c>
      <c r="E31" s="49"/>
      <c r="G31" s="56"/>
      <c r="H31" s="57"/>
      <c r="K31" s="57"/>
      <c r="L31" s="57"/>
      <c r="N31" s="57"/>
    </row>
    <row r="32" spans="1:14" x14ac:dyDescent="0.25">
      <c r="A32" s="49">
        <v>24</v>
      </c>
      <c r="E32" s="49"/>
      <c r="G32" s="56"/>
      <c r="K32" s="49"/>
      <c r="L32" s="49"/>
      <c r="N32" s="57"/>
    </row>
    <row r="33" spans="1:14" x14ac:dyDescent="0.25">
      <c r="A33" s="49">
        <v>25</v>
      </c>
      <c r="E33" s="49"/>
      <c r="G33" s="56"/>
      <c r="H33" s="57"/>
      <c r="K33" s="57"/>
      <c r="L33" s="57"/>
      <c r="N33" s="57"/>
    </row>
    <row r="34" spans="1:14" x14ac:dyDescent="0.25">
      <c r="A34" s="49">
        <v>26</v>
      </c>
      <c r="E34" s="49"/>
      <c r="G34" s="56"/>
      <c r="K34" s="49"/>
      <c r="L34" s="49"/>
      <c r="N34" s="57"/>
    </row>
    <row r="35" spans="1:14" x14ac:dyDescent="0.25">
      <c r="A35" s="49">
        <v>27</v>
      </c>
      <c r="E35" s="49"/>
      <c r="G35" s="56"/>
      <c r="H35" s="57"/>
      <c r="K35" s="57"/>
      <c r="L35" s="57"/>
      <c r="N35" s="57"/>
    </row>
    <row r="36" spans="1:14" x14ac:dyDescent="0.25">
      <c r="A36" s="49">
        <v>28</v>
      </c>
      <c r="E36" s="49"/>
      <c r="G36" s="56"/>
      <c r="K36" s="49"/>
      <c r="L36" s="49"/>
      <c r="N36" s="57"/>
    </row>
    <row r="37" spans="1:14" x14ac:dyDescent="0.25">
      <c r="A37" s="49">
        <v>29</v>
      </c>
      <c r="E37" s="49"/>
      <c r="G37" s="56"/>
      <c r="H37" s="57"/>
      <c r="K37" s="57"/>
      <c r="L37" s="57"/>
      <c r="N37" s="57"/>
    </row>
    <row r="38" spans="1:14" x14ac:dyDescent="0.25">
      <c r="A38" s="49">
        <v>30</v>
      </c>
      <c r="E38" s="49"/>
      <c r="G38" s="56"/>
      <c r="K38" s="49"/>
      <c r="L38" s="49"/>
      <c r="N38" s="57"/>
    </row>
    <row r="39" spans="1:14" x14ac:dyDescent="0.25">
      <c r="A39" s="49">
        <v>31</v>
      </c>
      <c r="E39" s="49"/>
      <c r="G39" s="56"/>
      <c r="H39" s="57"/>
      <c r="K39" s="57"/>
      <c r="L39" s="57"/>
      <c r="N39" s="57"/>
    </row>
    <row r="40" spans="1:14" x14ac:dyDescent="0.25">
      <c r="A40" s="49">
        <v>32</v>
      </c>
      <c r="E40" s="49"/>
      <c r="G40" s="56"/>
      <c r="K40" s="49"/>
      <c r="L40" s="49"/>
      <c r="N40" s="57"/>
    </row>
    <row r="41" spans="1:14" x14ac:dyDescent="0.25">
      <c r="A41" s="49">
        <v>33</v>
      </c>
      <c r="E41" s="49"/>
      <c r="G41" s="56"/>
      <c r="H41" s="57"/>
      <c r="K41" s="57"/>
      <c r="L41" s="57"/>
      <c r="N41" s="57"/>
    </row>
    <row r="42" spans="1:14" x14ac:dyDescent="0.25">
      <c r="A42" s="49">
        <v>34</v>
      </c>
      <c r="E42" s="49"/>
      <c r="G42" s="56"/>
      <c r="K42" s="49"/>
      <c r="L42" s="49"/>
      <c r="N42" s="57"/>
    </row>
    <row r="43" spans="1:14" x14ac:dyDescent="0.25">
      <c r="A43" s="49">
        <v>35</v>
      </c>
      <c r="E43" s="49"/>
      <c r="G43" s="56"/>
      <c r="H43" s="57"/>
      <c r="K43" s="57"/>
      <c r="L43" s="57"/>
      <c r="N43" s="57"/>
    </row>
    <row r="44" spans="1:14" x14ac:dyDescent="0.25">
      <c r="A44" s="49">
        <v>36</v>
      </c>
      <c r="E44" s="49"/>
      <c r="G44" s="56"/>
      <c r="K44" s="49"/>
      <c r="L44" s="49"/>
      <c r="N44" s="57"/>
    </row>
    <row r="45" spans="1:14" x14ac:dyDescent="0.25">
      <c r="A45" s="49">
        <v>37</v>
      </c>
      <c r="E45" s="49"/>
      <c r="G45" s="56"/>
      <c r="H45" s="57"/>
      <c r="K45" s="57"/>
      <c r="L45" s="57"/>
      <c r="N45" s="57"/>
    </row>
    <row r="46" spans="1:14" x14ac:dyDescent="0.25">
      <c r="A46" s="49">
        <v>38</v>
      </c>
      <c r="E46" s="49"/>
      <c r="G46" s="56"/>
      <c r="K46" s="49"/>
      <c r="L46" s="49"/>
      <c r="N46" s="57"/>
    </row>
    <row r="47" spans="1:14" x14ac:dyDescent="0.25">
      <c r="A47" s="49">
        <v>39</v>
      </c>
      <c r="E47" s="49"/>
      <c r="G47" s="56"/>
      <c r="H47" s="57"/>
      <c r="K47" s="57"/>
      <c r="L47" s="57"/>
      <c r="N47" s="57"/>
    </row>
    <row r="48" spans="1:14" x14ac:dyDescent="0.25">
      <c r="A48" s="49">
        <v>40</v>
      </c>
      <c r="E48" s="49"/>
      <c r="G48" s="56"/>
      <c r="K48" s="49"/>
      <c r="L48" s="49"/>
      <c r="N48" s="57"/>
    </row>
    <row r="49" spans="1:14" x14ac:dyDescent="0.25">
      <c r="A49" s="49">
        <v>41</v>
      </c>
      <c r="E49" s="49"/>
      <c r="G49" s="56"/>
      <c r="H49" s="57"/>
      <c r="K49" s="57"/>
      <c r="L49" s="57"/>
      <c r="N49" s="57"/>
    </row>
    <row r="50" spans="1:14" x14ac:dyDescent="0.25">
      <c r="A50" s="49">
        <v>42</v>
      </c>
      <c r="E50" s="49"/>
      <c r="G50" s="56"/>
      <c r="K50" s="49"/>
      <c r="L50" s="49"/>
      <c r="N50" s="57"/>
    </row>
    <row r="51" spans="1:14" x14ac:dyDescent="0.25">
      <c r="A51" s="49">
        <v>43</v>
      </c>
      <c r="E51" s="49"/>
      <c r="G51" s="56"/>
      <c r="H51" s="57"/>
      <c r="K51" s="57"/>
      <c r="L51" s="57"/>
      <c r="N51" s="57"/>
    </row>
    <row r="52" spans="1:14" x14ac:dyDescent="0.25">
      <c r="A52" s="49">
        <v>44</v>
      </c>
      <c r="E52" s="49"/>
      <c r="G52" s="56"/>
      <c r="K52" s="49"/>
      <c r="L52" s="49"/>
      <c r="N52" s="57"/>
    </row>
    <row r="53" spans="1:14" x14ac:dyDescent="0.25">
      <c r="A53" s="49">
        <v>45</v>
      </c>
      <c r="E53" s="49"/>
      <c r="G53" s="56"/>
      <c r="H53" s="57"/>
      <c r="K53" s="57"/>
      <c r="L53" s="57"/>
      <c r="N53" s="57"/>
    </row>
    <row r="54" spans="1:14" x14ac:dyDescent="0.25">
      <c r="A54" s="49">
        <v>46</v>
      </c>
      <c r="E54" s="49"/>
      <c r="G54" s="56"/>
      <c r="K54" s="49"/>
      <c r="L54" s="49"/>
      <c r="N54" s="57"/>
    </row>
    <row r="55" spans="1:14" x14ac:dyDescent="0.25">
      <c r="A55" s="49">
        <v>47</v>
      </c>
      <c r="E55" s="49"/>
      <c r="G55" s="56"/>
      <c r="H55" s="57"/>
      <c r="K55" s="57"/>
      <c r="L55" s="57"/>
      <c r="N55" s="57"/>
    </row>
    <row r="56" spans="1:14" x14ac:dyDescent="0.25">
      <c r="A56" s="49">
        <v>48</v>
      </c>
      <c r="E56" s="49"/>
      <c r="G56" s="56"/>
      <c r="K56" s="49"/>
      <c r="L56" s="49"/>
      <c r="N56" s="57"/>
    </row>
    <row r="57" spans="1:14" x14ac:dyDescent="0.25">
      <c r="A57" s="49">
        <v>49</v>
      </c>
      <c r="E57" s="49"/>
      <c r="G57" s="56"/>
      <c r="H57" s="57"/>
      <c r="K57" s="57"/>
      <c r="L57" s="57"/>
      <c r="N57" s="57"/>
    </row>
    <row r="58" spans="1:14" x14ac:dyDescent="0.25">
      <c r="A58" s="49">
        <v>50</v>
      </c>
      <c r="E58" s="49"/>
      <c r="G58" s="56"/>
      <c r="K58" s="49"/>
      <c r="L58" s="49"/>
      <c r="N58" s="57"/>
    </row>
  </sheetData>
  <mergeCells count="6">
    <mergeCell ref="B5:C5"/>
    <mergeCell ref="K1:L1"/>
    <mergeCell ref="B2:C2"/>
    <mergeCell ref="B3:C3"/>
    <mergeCell ref="B4:C4"/>
    <mergeCell ref="B1:E1"/>
  </mergeCells>
  <phoneticPr fontId="6" type="noConversion"/>
  <conditionalFormatting sqref="A9:S58">
    <cfRule type="cellIs" dxfId="60" priority="3" operator="equal">
      <formula>0</formula>
    </cfRule>
  </conditionalFormatting>
  <conditionalFormatting sqref="G9:G58">
    <cfRule type="cellIs" dxfId="59" priority="1" operator="equal">
      <formula>"Instant"</formula>
    </cfRule>
    <cfRule type="cellIs" dxfId="58" priority="2" operator="equal">
      <formula>"Bank"</formula>
    </cfRule>
  </conditionalFormatting>
  <dataValidations count="5">
    <dataValidation type="list" allowBlank="1" showInputMessage="1" showErrorMessage="1" sqref="D2 I9:I58" xr:uid="{85366BB1-BEB3-43C0-A33A-FB2704798B49}">
      <formula1>Month_list_NR</formula1>
    </dataValidation>
    <dataValidation type="list" allowBlank="1" showInputMessage="1" showErrorMessage="1" sqref="O9:O58" xr:uid="{7A19EEF5-2DD3-41B6-80E1-BC8BDE15915F}">
      <formula1>Job_designation_list_NR</formula1>
    </dataValidation>
    <dataValidation type="list" allowBlank="1" showInputMessage="1" showErrorMessage="1" sqref="M9:M58" xr:uid="{4A29C43D-301B-4F86-A688-CD7123F00991}">
      <formula1>Nationality_list_NR</formula1>
    </dataValidation>
    <dataValidation type="list" allowBlank="1" showInputMessage="1" showErrorMessage="1" sqref="G9:G58" xr:uid="{27970833-B9E4-4CB9-983A-90867EC84B71}">
      <formula1>Payment_type_NR</formula1>
    </dataValidation>
    <dataValidation type="list" allowBlank="1" showInputMessage="1" showErrorMessage="1" sqref="P9:P58" xr:uid="{A9BD87B3-E115-47AF-A748-E45E7B7852AD}">
      <formula1>Employer_list_NR</formula1>
    </dataValidation>
  </dataValidations>
  <pageMargins left="0.7" right="0.7" top="0.75" bottom="0.75" header="0.3" footer="0.3"/>
  <pageSetup scale="52" orientation="landscape" horizontalDpi="300" verticalDpi="300" r:id="rId1"/>
  <colBreaks count="1" manualBreakCount="1">
    <brk id="13" min="4" max="4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_Employees_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Create_Payslips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Workers_instant_money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Create_Register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C3B-5574-43E1-B1E0-B13BC6942AEC}">
  <sheetPr codeName="Sheet2"/>
  <dimension ref="A1:DE54"/>
  <sheetViews>
    <sheetView zoomScale="80" zoomScaleNormal="80" workbookViewId="0">
      <pane xSplit="2" ySplit="4" topLeftCell="CE5" activePane="bottomRight" state="frozen"/>
      <selection pane="topRight" activeCell="B1" sqref="B1"/>
      <selection pane="bottomLeft" activeCell="A5" sqref="A5"/>
      <selection pane="bottomRight" activeCell="CE5" sqref="CE5"/>
    </sheetView>
  </sheetViews>
  <sheetFormatPr defaultColWidth="11.5703125" defaultRowHeight="15" x14ac:dyDescent="0.25"/>
  <cols>
    <col min="1" max="1" width="8.85546875" style="3" bestFit="1" customWidth="1"/>
    <col min="2" max="2" width="15" style="3" bestFit="1" customWidth="1"/>
    <col min="3" max="3" width="11" style="3" bestFit="1" customWidth="1"/>
    <col min="4" max="4" width="9.7109375" style="3" bestFit="1" customWidth="1"/>
    <col min="5" max="5" width="12.140625" style="3" bestFit="1" customWidth="1"/>
    <col min="6" max="6" width="10.7109375" style="3" bestFit="1" customWidth="1"/>
    <col min="7" max="7" width="12.140625" style="3" bestFit="1" customWidth="1"/>
    <col min="8" max="8" width="10.7109375" style="3" bestFit="1" customWidth="1"/>
    <col min="9" max="9" width="12.140625" style="3" bestFit="1" customWidth="1"/>
    <col min="10" max="10" width="10.7109375" style="3" bestFit="1" customWidth="1"/>
    <col min="11" max="11" width="12.140625" style="3" bestFit="1" customWidth="1"/>
    <col min="12" max="12" width="10.7109375" style="3" bestFit="1" customWidth="1"/>
    <col min="13" max="13" width="13.140625" style="3" bestFit="1" customWidth="1"/>
    <col min="14" max="14" width="11.7109375" style="3" bestFit="1" customWidth="1"/>
    <col min="15" max="15" width="13.140625" style="3" bestFit="1" customWidth="1"/>
    <col min="16" max="16" width="11.7109375" style="3" bestFit="1" customWidth="1"/>
    <col min="17" max="17" width="13.140625" style="3" bestFit="1" customWidth="1"/>
    <col min="18" max="18" width="11.7109375" style="3" bestFit="1" customWidth="1"/>
    <col min="19" max="19" width="13.140625" style="3" bestFit="1" customWidth="1"/>
    <col min="20" max="20" width="11.7109375" style="3" bestFit="1" customWidth="1"/>
    <col min="21" max="21" width="13.140625" style="3" bestFit="1" customWidth="1"/>
    <col min="22" max="22" width="11.7109375" style="3" bestFit="1" customWidth="1"/>
    <col min="23" max="23" width="13.140625" style="3" bestFit="1" customWidth="1"/>
    <col min="24" max="24" width="11.7109375" style="3" bestFit="1" customWidth="1"/>
    <col min="25" max="25" width="13.140625" style="3" bestFit="1" customWidth="1"/>
    <col min="26" max="26" width="11.7109375" style="3" bestFit="1" customWidth="1"/>
    <col min="27" max="27" width="13.140625" style="3" bestFit="1" customWidth="1"/>
    <col min="28" max="28" width="11.7109375" style="3" bestFit="1" customWidth="1"/>
    <col min="29" max="29" width="13.140625" style="3" bestFit="1" customWidth="1"/>
    <col min="30" max="30" width="11.7109375" style="3" bestFit="1" customWidth="1"/>
    <col min="31" max="31" width="13.140625" style="3" bestFit="1" customWidth="1"/>
    <col min="32" max="32" width="11.7109375" style="3" bestFit="1" customWidth="1"/>
    <col min="33" max="33" width="13.140625" style="3" bestFit="1" customWidth="1"/>
    <col min="34" max="34" width="11.7109375" style="3" bestFit="1" customWidth="1"/>
    <col min="35" max="35" width="13.140625" style="3" bestFit="1" customWidth="1"/>
    <col min="36" max="36" width="11.7109375" style="3" bestFit="1" customWidth="1"/>
    <col min="37" max="37" width="13.140625" style="3" bestFit="1" customWidth="1"/>
    <col min="38" max="38" width="11.7109375" style="3" bestFit="1" customWidth="1"/>
    <col min="39" max="39" width="13.140625" style="3" bestFit="1" customWidth="1"/>
    <col min="40" max="40" width="11.7109375" style="3" bestFit="1" customWidth="1"/>
    <col min="41" max="41" width="13.140625" style="3" bestFit="1" customWidth="1"/>
    <col min="42" max="42" width="11.7109375" style="3" bestFit="1" customWidth="1"/>
    <col min="43" max="43" width="13.140625" style="3" bestFit="1" customWidth="1"/>
    <col min="44" max="44" width="11.7109375" style="3" bestFit="1" customWidth="1"/>
    <col min="45" max="45" width="13.140625" style="3" bestFit="1" customWidth="1"/>
    <col min="46" max="46" width="11.7109375" style="3" bestFit="1" customWidth="1"/>
    <col min="47" max="47" width="13.140625" style="3" bestFit="1" customWidth="1"/>
    <col min="48" max="48" width="11.7109375" style="3" bestFit="1" customWidth="1"/>
    <col min="49" max="49" width="13.140625" style="3" bestFit="1" customWidth="1"/>
    <col min="50" max="50" width="11.7109375" style="3" bestFit="1" customWidth="1"/>
    <col min="51" max="51" width="13.140625" style="3" bestFit="1" customWidth="1"/>
    <col min="52" max="52" width="11.7109375" style="3" bestFit="1" customWidth="1"/>
    <col min="53" max="53" width="13.140625" style="3" bestFit="1" customWidth="1"/>
    <col min="54" max="54" width="11.7109375" style="3" bestFit="1" customWidth="1"/>
    <col min="55" max="55" width="13.140625" style="3" bestFit="1" customWidth="1"/>
    <col min="56" max="56" width="11.7109375" style="3" bestFit="1" customWidth="1"/>
    <col min="57" max="57" width="13.140625" style="3" bestFit="1" customWidth="1"/>
    <col min="58" max="58" width="11.7109375" style="3" bestFit="1" customWidth="1"/>
    <col min="59" max="59" width="13.140625" style="3" bestFit="1" customWidth="1"/>
    <col min="60" max="60" width="11.7109375" style="3" bestFit="1" customWidth="1"/>
    <col min="61" max="61" width="13.140625" style="3" bestFit="1" customWidth="1"/>
    <col min="62" max="62" width="11.7109375" style="3" bestFit="1" customWidth="1"/>
    <col min="63" max="63" width="13.140625" style="3" bestFit="1" customWidth="1"/>
    <col min="64" max="64" width="11.7109375" style="3" bestFit="1" customWidth="1"/>
    <col min="65" max="65" width="13.140625" style="3" bestFit="1" customWidth="1"/>
    <col min="66" max="66" width="11.7109375" style="3" bestFit="1" customWidth="1"/>
    <col min="67" max="67" width="13.140625" style="3" bestFit="1" customWidth="1"/>
    <col min="68" max="68" width="11.7109375" style="3" bestFit="1" customWidth="1"/>
    <col min="69" max="69" width="13.140625" style="3" bestFit="1" customWidth="1"/>
    <col min="70" max="70" width="11.7109375" style="3" bestFit="1" customWidth="1"/>
    <col min="71" max="71" width="13.140625" style="3" bestFit="1" customWidth="1"/>
    <col min="72" max="72" width="11.7109375" style="3" bestFit="1" customWidth="1"/>
    <col min="73" max="73" width="13.140625" style="3" bestFit="1" customWidth="1"/>
    <col min="74" max="74" width="11.7109375" style="3" bestFit="1" customWidth="1"/>
    <col min="75" max="75" width="13.140625" style="3" bestFit="1" customWidth="1"/>
    <col min="76" max="76" width="11.7109375" style="3" bestFit="1" customWidth="1"/>
    <col min="77" max="77" width="13.140625" style="3" bestFit="1" customWidth="1"/>
    <col min="78" max="78" width="11.7109375" style="3" bestFit="1" customWidth="1"/>
    <col min="79" max="79" width="13.140625" style="3" bestFit="1" customWidth="1"/>
    <col min="80" max="80" width="11.7109375" style="3" bestFit="1" customWidth="1"/>
    <col min="81" max="81" width="13.140625" style="3" bestFit="1" customWidth="1"/>
    <col min="82" max="82" width="11.7109375" style="3" bestFit="1" customWidth="1"/>
    <col min="83" max="83" width="13.140625" style="3" bestFit="1" customWidth="1"/>
    <col min="84" max="84" width="11.7109375" style="3" bestFit="1" customWidth="1"/>
    <col min="85" max="85" width="13.140625" style="3" bestFit="1" customWidth="1"/>
    <col min="86" max="86" width="11.7109375" style="3" bestFit="1" customWidth="1"/>
    <col min="87" max="87" width="13.140625" style="3" bestFit="1" customWidth="1"/>
    <col min="88" max="88" width="11.7109375" style="3" bestFit="1" customWidth="1"/>
    <col min="89" max="89" width="13.140625" style="3" bestFit="1" customWidth="1"/>
    <col min="90" max="90" width="11.7109375" style="3" bestFit="1" customWidth="1"/>
    <col min="91" max="91" width="13.140625" style="3" bestFit="1" customWidth="1"/>
    <col min="92" max="92" width="11.7109375" style="3" bestFit="1" customWidth="1"/>
    <col min="93" max="93" width="13.140625" style="3" bestFit="1" customWidth="1"/>
    <col min="94" max="94" width="11.7109375" style="3" bestFit="1" customWidth="1"/>
    <col min="95" max="95" width="13.140625" style="3" bestFit="1" customWidth="1"/>
    <col min="96" max="96" width="11.7109375" style="3" bestFit="1" customWidth="1"/>
    <col min="97" max="97" width="13.140625" style="3" bestFit="1" customWidth="1"/>
    <col min="98" max="98" width="11.7109375" style="3" bestFit="1" customWidth="1"/>
    <col min="99" max="99" width="13.140625" style="3" bestFit="1" customWidth="1"/>
    <col min="100" max="100" width="11.7109375" style="3" bestFit="1" customWidth="1"/>
    <col min="101" max="101" width="8.42578125" style="3" bestFit="1" customWidth="1"/>
    <col min="102" max="102" width="9" style="3" bestFit="1" customWidth="1"/>
    <col min="103" max="103" width="7.85546875" style="3" bestFit="1" customWidth="1"/>
    <col min="104" max="104" width="7.5703125" style="3" bestFit="1" customWidth="1"/>
    <col min="105" max="105" width="9.85546875" style="3" bestFit="1" customWidth="1"/>
    <col min="106" max="16384" width="11.5703125" style="3"/>
  </cols>
  <sheetData>
    <row r="1" spans="1:109" ht="21" customHeight="1" x14ac:dyDescent="0.25">
      <c r="A1" s="59"/>
      <c r="B1" s="59"/>
      <c r="C1" s="62" t="s">
        <v>3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 t="s">
        <v>4</v>
      </c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 t="s">
        <v>5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 t="s">
        <v>6</v>
      </c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 t="s">
        <v>7</v>
      </c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 t="s">
        <v>38</v>
      </c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 t="s">
        <v>39</v>
      </c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5"/>
      <c r="CW1" s="67" t="s">
        <v>69</v>
      </c>
      <c r="CX1" s="67" t="s">
        <v>70</v>
      </c>
      <c r="CY1" s="67" t="s">
        <v>71</v>
      </c>
      <c r="CZ1" s="67" t="s">
        <v>72</v>
      </c>
      <c r="DA1" s="67" t="s">
        <v>73</v>
      </c>
      <c r="DD1" s="64" t="s">
        <v>27</v>
      </c>
      <c r="DE1" s="64"/>
    </row>
    <row r="2" spans="1:109" ht="21" customHeight="1" x14ac:dyDescent="0.25">
      <c r="A2" s="59"/>
      <c r="B2" s="59"/>
      <c r="C2" s="61" t="s">
        <v>33</v>
      </c>
      <c r="D2" s="61"/>
      <c r="E2" s="61" t="s">
        <v>34</v>
      </c>
      <c r="F2" s="61"/>
      <c r="G2" s="61" t="s">
        <v>35</v>
      </c>
      <c r="H2" s="61"/>
      <c r="I2" s="61" t="s">
        <v>36</v>
      </c>
      <c r="J2" s="61"/>
      <c r="K2" s="61" t="s">
        <v>30</v>
      </c>
      <c r="L2" s="61"/>
      <c r="M2" s="61" t="s">
        <v>31</v>
      </c>
      <c r="N2" s="61"/>
      <c r="O2" s="61" t="s">
        <v>32</v>
      </c>
      <c r="P2" s="61"/>
      <c r="Q2" s="61" t="s">
        <v>33</v>
      </c>
      <c r="R2" s="61"/>
      <c r="S2" s="61" t="s">
        <v>34</v>
      </c>
      <c r="T2" s="61"/>
      <c r="U2" s="61" t="s">
        <v>35</v>
      </c>
      <c r="V2" s="61"/>
      <c r="W2" s="61" t="s">
        <v>36</v>
      </c>
      <c r="X2" s="61"/>
      <c r="Y2" s="61" t="s">
        <v>30</v>
      </c>
      <c r="Z2" s="61"/>
      <c r="AA2" s="61" t="s">
        <v>31</v>
      </c>
      <c r="AB2" s="61"/>
      <c r="AC2" s="61" t="s">
        <v>32</v>
      </c>
      <c r="AD2" s="61"/>
      <c r="AE2" s="61" t="s">
        <v>33</v>
      </c>
      <c r="AF2" s="61"/>
      <c r="AG2" s="61" t="s">
        <v>34</v>
      </c>
      <c r="AH2" s="61"/>
      <c r="AI2" s="61" t="s">
        <v>35</v>
      </c>
      <c r="AJ2" s="61"/>
      <c r="AK2" s="61" t="s">
        <v>36</v>
      </c>
      <c r="AL2" s="61"/>
      <c r="AM2" s="61" t="s">
        <v>30</v>
      </c>
      <c r="AN2" s="61"/>
      <c r="AO2" s="61" t="s">
        <v>31</v>
      </c>
      <c r="AP2" s="61"/>
      <c r="AQ2" s="61" t="s">
        <v>32</v>
      </c>
      <c r="AR2" s="61"/>
      <c r="AS2" s="61" t="s">
        <v>33</v>
      </c>
      <c r="AT2" s="61"/>
      <c r="AU2" s="61" t="s">
        <v>34</v>
      </c>
      <c r="AV2" s="61"/>
      <c r="AW2" s="61" t="s">
        <v>35</v>
      </c>
      <c r="AX2" s="61"/>
      <c r="AY2" s="61" t="s">
        <v>36</v>
      </c>
      <c r="AZ2" s="61"/>
      <c r="BA2" s="61" t="s">
        <v>30</v>
      </c>
      <c r="BB2" s="61"/>
      <c r="BC2" s="61" t="s">
        <v>31</v>
      </c>
      <c r="BD2" s="61"/>
      <c r="BE2" s="61" t="s">
        <v>32</v>
      </c>
      <c r="BF2" s="61"/>
      <c r="BG2" s="61" t="s">
        <v>33</v>
      </c>
      <c r="BH2" s="61"/>
      <c r="BI2" s="61" t="s">
        <v>34</v>
      </c>
      <c r="BJ2" s="61"/>
      <c r="BK2" s="61" t="s">
        <v>35</v>
      </c>
      <c r="BL2" s="61"/>
      <c r="BM2" s="61" t="s">
        <v>36</v>
      </c>
      <c r="BN2" s="61"/>
      <c r="BO2" s="61" t="s">
        <v>30</v>
      </c>
      <c r="BP2" s="61"/>
      <c r="BQ2" s="61" t="s">
        <v>31</v>
      </c>
      <c r="BR2" s="61"/>
      <c r="BS2" s="61" t="s">
        <v>32</v>
      </c>
      <c r="BT2" s="61"/>
      <c r="BU2" s="61" t="s">
        <v>33</v>
      </c>
      <c r="BV2" s="61"/>
      <c r="BW2" s="61" t="s">
        <v>34</v>
      </c>
      <c r="BX2" s="61"/>
      <c r="BY2" s="61" t="s">
        <v>35</v>
      </c>
      <c r="BZ2" s="61"/>
      <c r="CA2" s="61" t="s">
        <v>36</v>
      </c>
      <c r="CB2" s="61"/>
      <c r="CC2" s="61" t="s">
        <v>30</v>
      </c>
      <c r="CD2" s="61"/>
      <c r="CE2" s="61" t="s">
        <v>31</v>
      </c>
      <c r="CF2" s="61"/>
      <c r="CG2" s="61" t="s">
        <v>32</v>
      </c>
      <c r="CH2" s="61"/>
      <c r="CI2" s="61" t="s">
        <v>33</v>
      </c>
      <c r="CJ2" s="61"/>
      <c r="CK2" s="61" t="s">
        <v>34</v>
      </c>
      <c r="CL2" s="61"/>
      <c r="CM2" s="61" t="s">
        <v>35</v>
      </c>
      <c r="CN2" s="61"/>
      <c r="CO2" s="61" t="s">
        <v>36</v>
      </c>
      <c r="CP2" s="61"/>
      <c r="CQ2" s="61" t="s">
        <v>30</v>
      </c>
      <c r="CR2" s="61"/>
      <c r="CS2" s="61" t="s">
        <v>31</v>
      </c>
      <c r="CT2" s="61"/>
      <c r="CU2" s="61" t="s">
        <v>32</v>
      </c>
      <c r="CV2" s="68"/>
      <c r="CW2" s="67"/>
      <c r="CX2" s="67"/>
      <c r="CY2" s="67"/>
      <c r="CZ2" s="67"/>
      <c r="DA2" s="67"/>
      <c r="DD2" s="64"/>
      <c r="DE2" s="64"/>
    </row>
    <row r="3" spans="1:109" ht="21" customHeight="1" x14ac:dyDescent="0.25">
      <c r="A3" s="59"/>
      <c r="B3" s="59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6"/>
      <c r="CW3" s="67"/>
      <c r="CX3" s="67"/>
      <c r="CY3" s="67"/>
      <c r="CZ3" s="67"/>
      <c r="DA3" s="67"/>
    </row>
    <row r="4" spans="1:109" ht="21" customHeight="1" x14ac:dyDescent="0.25">
      <c r="A4" s="42" t="s">
        <v>8</v>
      </c>
      <c r="B4" s="42" t="s">
        <v>50</v>
      </c>
      <c r="C4" s="42" t="s">
        <v>69</v>
      </c>
      <c r="D4" s="42" t="s">
        <v>0</v>
      </c>
      <c r="E4" s="42" t="s">
        <v>69</v>
      </c>
      <c r="F4" s="42" t="s">
        <v>0</v>
      </c>
      <c r="G4" s="42" t="s">
        <v>69</v>
      </c>
      <c r="H4" s="42" t="s">
        <v>0</v>
      </c>
      <c r="I4" s="42" t="s">
        <v>69</v>
      </c>
      <c r="J4" s="42" t="s">
        <v>0</v>
      </c>
      <c r="K4" s="42" t="s">
        <v>69</v>
      </c>
      <c r="L4" s="42" t="s">
        <v>0</v>
      </c>
      <c r="M4" s="42" t="s">
        <v>69</v>
      </c>
      <c r="N4" s="42" t="s">
        <v>0</v>
      </c>
      <c r="O4" s="42" t="s">
        <v>69</v>
      </c>
      <c r="P4" s="42" t="s">
        <v>0</v>
      </c>
      <c r="Q4" s="42" t="s">
        <v>69</v>
      </c>
      <c r="R4" s="42" t="s">
        <v>0</v>
      </c>
      <c r="S4" s="42" t="s">
        <v>69</v>
      </c>
      <c r="T4" s="42" t="s">
        <v>0</v>
      </c>
      <c r="U4" s="42" t="s">
        <v>69</v>
      </c>
      <c r="V4" s="42" t="s">
        <v>0</v>
      </c>
      <c r="W4" s="42" t="s">
        <v>69</v>
      </c>
      <c r="X4" s="42" t="s">
        <v>0</v>
      </c>
      <c r="Y4" s="42" t="s">
        <v>69</v>
      </c>
      <c r="Z4" s="42" t="s">
        <v>0</v>
      </c>
      <c r="AA4" s="42" t="s">
        <v>69</v>
      </c>
      <c r="AB4" s="42" t="s">
        <v>0</v>
      </c>
      <c r="AC4" s="42" t="s">
        <v>69</v>
      </c>
      <c r="AD4" s="42" t="s">
        <v>0</v>
      </c>
      <c r="AE4" s="42" t="s">
        <v>69</v>
      </c>
      <c r="AF4" s="42" t="s">
        <v>0</v>
      </c>
      <c r="AG4" s="42" t="s">
        <v>69</v>
      </c>
      <c r="AH4" s="42" t="s">
        <v>0</v>
      </c>
      <c r="AI4" s="42" t="s">
        <v>69</v>
      </c>
      <c r="AJ4" s="42" t="s">
        <v>0</v>
      </c>
      <c r="AK4" s="42" t="s">
        <v>69</v>
      </c>
      <c r="AL4" s="42" t="s">
        <v>0</v>
      </c>
      <c r="AM4" s="42" t="s">
        <v>69</v>
      </c>
      <c r="AN4" s="42" t="s">
        <v>0</v>
      </c>
      <c r="AO4" s="42" t="s">
        <v>69</v>
      </c>
      <c r="AP4" s="42" t="s">
        <v>0</v>
      </c>
      <c r="AQ4" s="42" t="s">
        <v>69</v>
      </c>
      <c r="AR4" s="42" t="s">
        <v>0</v>
      </c>
      <c r="AS4" s="42" t="s">
        <v>69</v>
      </c>
      <c r="AT4" s="42" t="s">
        <v>0</v>
      </c>
      <c r="AU4" s="42" t="s">
        <v>69</v>
      </c>
      <c r="AV4" s="42" t="s">
        <v>0</v>
      </c>
      <c r="AW4" s="42" t="s">
        <v>69</v>
      </c>
      <c r="AX4" s="42" t="s">
        <v>0</v>
      </c>
      <c r="AY4" s="42" t="s">
        <v>69</v>
      </c>
      <c r="AZ4" s="42" t="s">
        <v>0</v>
      </c>
      <c r="BA4" s="42" t="s">
        <v>69</v>
      </c>
      <c r="BB4" s="42" t="s">
        <v>0</v>
      </c>
      <c r="BC4" s="42" t="s">
        <v>69</v>
      </c>
      <c r="BD4" s="42" t="s">
        <v>0</v>
      </c>
      <c r="BE4" s="42" t="s">
        <v>69</v>
      </c>
      <c r="BF4" s="42" t="s">
        <v>0</v>
      </c>
      <c r="BG4" s="42" t="s">
        <v>69</v>
      </c>
      <c r="BH4" s="42" t="s">
        <v>0</v>
      </c>
      <c r="BI4" s="42" t="s">
        <v>69</v>
      </c>
      <c r="BJ4" s="42" t="s">
        <v>0</v>
      </c>
      <c r="BK4" s="42" t="s">
        <v>69</v>
      </c>
      <c r="BL4" s="42" t="s">
        <v>0</v>
      </c>
      <c r="BM4" s="42" t="s">
        <v>69</v>
      </c>
      <c r="BN4" s="42" t="s">
        <v>0</v>
      </c>
      <c r="BO4" s="42" t="s">
        <v>69</v>
      </c>
      <c r="BP4" s="42" t="s">
        <v>0</v>
      </c>
      <c r="BQ4" s="42" t="s">
        <v>69</v>
      </c>
      <c r="BR4" s="42" t="s">
        <v>0</v>
      </c>
      <c r="BS4" s="42" t="s">
        <v>69</v>
      </c>
      <c r="BT4" s="42" t="s">
        <v>0</v>
      </c>
      <c r="BU4" s="42" t="s">
        <v>69</v>
      </c>
      <c r="BV4" s="42" t="s">
        <v>0</v>
      </c>
      <c r="BW4" s="42" t="s">
        <v>69</v>
      </c>
      <c r="BX4" s="42" t="s">
        <v>0</v>
      </c>
      <c r="BY4" s="42" t="s">
        <v>69</v>
      </c>
      <c r="BZ4" s="42" t="s">
        <v>0</v>
      </c>
      <c r="CA4" s="42" t="s">
        <v>69</v>
      </c>
      <c r="CB4" s="42" t="s">
        <v>0</v>
      </c>
      <c r="CC4" s="42" t="s">
        <v>69</v>
      </c>
      <c r="CD4" s="42" t="s">
        <v>0</v>
      </c>
      <c r="CE4" s="42" t="s">
        <v>69</v>
      </c>
      <c r="CF4" s="42" t="s">
        <v>0</v>
      </c>
      <c r="CG4" s="42" t="s">
        <v>69</v>
      </c>
      <c r="CH4" s="42" t="s">
        <v>0</v>
      </c>
      <c r="CI4" s="42" t="s">
        <v>69</v>
      </c>
      <c r="CJ4" s="42" t="s">
        <v>0</v>
      </c>
      <c r="CK4" s="42" t="s">
        <v>69</v>
      </c>
      <c r="CL4" s="42" t="s">
        <v>0</v>
      </c>
      <c r="CM4" s="42" t="s">
        <v>69</v>
      </c>
      <c r="CN4" s="42" t="s">
        <v>0</v>
      </c>
      <c r="CO4" s="42" t="s">
        <v>69</v>
      </c>
      <c r="CP4" s="42" t="s">
        <v>0</v>
      </c>
      <c r="CQ4" s="42" t="s">
        <v>69</v>
      </c>
      <c r="CR4" s="42" t="s">
        <v>0</v>
      </c>
      <c r="CS4" s="42" t="s">
        <v>69</v>
      </c>
      <c r="CT4" s="42" t="s">
        <v>0</v>
      </c>
      <c r="CU4" s="42" t="s">
        <v>69</v>
      </c>
      <c r="CV4" s="44" t="s">
        <v>0</v>
      </c>
      <c r="CW4" s="67"/>
      <c r="CX4" s="67"/>
      <c r="CY4" s="67"/>
      <c r="CZ4" s="67"/>
      <c r="DA4" s="67"/>
    </row>
    <row r="5" spans="1:109" x14ac:dyDescent="0.25">
      <c r="A5" s="40">
        <f>Employees!A9</f>
        <v>1</v>
      </c>
      <c r="B5" s="45" t="str">
        <f>Employees!D9</f>
        <v>Dian1</v>
      </c>
      <c r="C5" s="9">
        <v>1</v>
      </c>
      <c r="D5" s="9"/>
      <c r="E5" s="9">
        <v>1</v>
      </c>
      <c r="F5" s="9"/>
      <c r="G5" s="9">
        <v>1</v>
      </c>
      <c r="H5" s="9"/>
      <c r="I5" s="9">
        <v>1</v>
      </c>
      <c r="J5" s="9"/>
      <c r="K5" s="9">
        <v>1</v>
      </c>
      <c r="L5" s="9"/>
      <c r="M5" s="9">
        <v>1</v>
      </c>
      <c r="N5" s="9"/>
      <c r="O5" s="9">
        <v>1</v>
      </c>
      <c r="P5" s="9"/>
      <c r="Q5" s="9">
        <v>1</v>
      </c>
      <c r="R5" s="9"/>
      <c r="S5" s="9">
        <v>1</v>
      </c>
      <c r="T5" s="9"/>
      <c r="U5" s="9">
        <v>1</v>
      </c>
      <c r="V5" s="9"/>
      <c r="W5" s="9">
        <v>1</v>
      </c>
      <c r="X5" s="9"/>
      <c r="Y5" s="9">
        <v>1</v>
      </c>
      <c r="Z5" s="9"/>
      <c r="AA5" s="9">
        <v>1</v>
      </c>
      <c r="AB5" s="9"/>
      <c r="AC5" s="9">
        <v>1</v>
      </c>
      <c r="AD5" s="9"/>
      <c r="AE5" s="9">
        <v>1</v>
      </c>
      <c r="AF5" s="9"/>
      <c r="AG5" s="9">
        <v>1</v>
      </c>
      <c r="AH5" s="9"/>
      <c r="AI5" s="9">
        <v>1</v>
      </c>
      <c r="AJ5" s="9"/>
      <c r="AK5" s="9">
        <v>1</v>
      </c>
      <c r="AL5" s="9"/>
      <c r="AM5" s="9">
        <v>1</v>
      </c>
      <c r="AN5" s="9"/>
      <c r="AO5" s="9">
        <v>1</v>
      </c>
      <c r="AP5" s="9"/>
      <c r="AQ5" s="9">
        <v>1</v>
      </c>
      <c r="AR5" s="9"/>
      <c r="AS5" s="9">
        <v>1</v>
      </c>
      <c r="AT5" s="9"/>
      <c r="AU5" s="9">
        <v>1</v>
      </c>
      <c r="AV5" s="9"/>
      <c r="AW5" s="9">
        <v>1</v>
      </c>
      <c r="AX5" s="9"/>
      <c r="AY5" s="9">
        <v>1</v>
      </c>
      <c r="AZ5" s="9"/>
      <c r="BA5" s="9">
        <v>1</v>
      </c>
      <c r="BB5" s="9"/>
      <c r="BC5" s="9">
        <v>1</v>
      </c>
      <c r="BD5" s="9"/>
      <c r="BE5" s="9">
        <v>1</v>
      </c>
      <c r="BF5" s="9"/>
      <c r="BG5" s="9">
        <v>1</v>
      </c>
      <c r="BH5" s="9"/>
      <c r="BI5" s="9">
        <v>1</v>
      </c>
      <c r="BJ5" s="9"/>
      <c r="BK5" s="9">
        <v>1</v>
      </c>
      <c r="BL5" s="9"/>
      <c r="BM5" s="9">
        <v>1</v>
      </c>
      <c r="BN5" s="9"/>
      <c r="BO5" s="9">
        <v>1</v>
      </c>
      <c r="BP5" s="9"/>
      <c r="BQ5" s="9">
        <v>1</v>
      </c>
      <c r="BR5" s="9"/>
      <c r="BS5" s="9">
        <v>1</v>
      </c>
      <c r="BT5" s="9"/>
      <c r="BU5" s="9">
        <v>1</v>
      </c>
      <c r="BV5" s="9"/>
      <c r="BW5" s="9">
        <v>1</v>
      </c>
      <c r="BX5" s="9"/>
      <c r="BY5" s="9">
        <v>1</v>
      </c>
      <c r="BZ5" s="9"/>
      <c r="CA5" s="9">
        <v>1</v>
      </c>
      <c r="CB5" s="9"/>
      <c r="CC5" s="9">
        <v>1</v>
      </c>
      <c r="CD5" s="9"/>
      <c r="CE5" s="9">
        <v>1</v>
      </c>
      <c r="CF5" s="9"/>
      <c r="CG5" s="9">
        <v>1</v>
      </c>
      <c r="CH5" s="9"/>
      <c r="CI5" s="9">
        <v>1</v>
      </c>
      <c r="CJ5" s="9"/>
      <c r="CK5" s="9">
        <v>1</v>
      </c>
      <c r="CL5" s="9"/>
      <c r="CM5" s="9">
        <v>1</v>
      </c>
      <c r="CN5" s="9"/>
      <c r="CO5" s="9">
        <v>1</v>
      </c>
      <c r="CP5" s="9"/>
      <c r="CQ5" s="9">
        <v>1</v>
      </c>
      <c r="CR5" s="9"/>
      <c r="CS5" s="9">
        <v>1</v>
      </c>
      <c r="CT5" s="9"/>
      <c r="CU5" s="9">
        <v>1</v>
      </c>
      <c r="CV5" s="9"/>
      <c r="CW5" s="32" cm="1">
        <f t="array" ref="CW5">SUMPRODUCT(IF(MOD(COLUMN(C5:CV5),2)=1,IF(ISNUMBER(C5:CV5),C5:CV5),0))</f>
        <v>49</v>
      </c>
      <c r="CX5" s="33" cm="1">
        <f t="array" ref="CX5">SUM(IF(MOD(COLUMN(C5:CV5),2)=0,C5:CV5,0))</f>
        <v>0</v>
      </c>
      <c r="CY5" s="34" cm="1">
        <f t="array" ref="CY5">SUMPRODUCT(IF(MOD(COLUMN(C5:CV5),2)=1,IF(C5:CV5="G",8),0))</f>
        <v>0</v>
      </c>
      <c r="CZ5" s="35" cm="1">
        <f t="array" ref="CZ5">SUMPRODUCT(IF(MOD(COLUMN(C5:CV5),2)=1,IF(C5:CV5="S",8),0))</f>
        <v>0</v>
      </c>
      <c r="DA5" s="36" cm="1">
        <f t="array" ref="DA5">SUMPRODUCT(IF(MOD(COLUMN(C5:CV5),2)=1,IF(C5:CV5="M",8),0))</f>
        <v>0</v>
      </c>
    </row>
    <row r="6" spans="1:109" x14ac:dyDescent="0.25">
      <c r="A6" s="40">
        <f>Employees!A10</f>
        <v>2</v>
      </c>
      <c r="B6" s="45" t="str">
        <f>Employees!D10</f>
        <v>Dian2</v>
      </c>
      <c r="C6" s="9">
        <v>1</v>
      </c>
      <c r="D6" s="9"/>
      <c r="E6" s="9">
        <v>1</v>
      </c>
      <c r="F6" s="9"/>
      <c r="G6" s="9">
        <v>1</v>
      </c>
      <c r="H6" s="9"/>
      <c r="I6" s="9">
        <v>1</v>
      </c>
      <c r="J6" s="9"/>
      <c r="K6" s="9">
        <v>1</v>
      </c>
      <c r="L6" s="9"/>
      <c r="M6" s="9">
        <v>1</v>
      </c>
      <c r="N6" s="9"/>
      <c r="O6" s="9">
        <v>1</v>
      </c>
      <c r="P6" s="9"/>
      <c r="Q6" s="9">
        <v>1</v>
      </c>
      <c r="R6" s="9"/>
      <c r="S6" s="9">
        <v>1</v>
      </c>
      <c r="T6" s="9"/>
      <c r="U6" s="9">
        <v>1</v>
      </c>
      <c r="V6" s="9"/>
      <c r="W6" s="9">
        <v>1</v>
      </c>
      <c r="X6" s="9"/>
      <c r="Y6" s="9">
        <v>1</v>
      </c>
      <c r="Z6" s="9"/>
      <c r="AA6" s="9">
        <v>1</v>
      </c>
      <c r="AB6" s="9"/>
      <c r="AC6" s="9">
        <v>1</v>
      </c>
      <c r="AD6" s="9"/>
      <c r="AE6" s="9">
        <v>1</v>
      </c>
      <c r="AF6" s="9"/>
      <c r="AG6" s="9">
        <v>1</v>
      </c>
      <c r="AH6" s="9"/>
      <c r="AI6" s="9">
        <v>1</v>
      </c>
      <c r="AJ6" s="9"/>
      <c r="AK6" s="9">
        <v>1</v>
      </c>
      <c r="AL6" s="9"/>
      <c r="AM6" s="9">
        <v>1</v>
      </c>
      <c r="AN6" s="9"/>
      <c r="AO6" s="9">
        <v>1</v>
      </c>
      <c r="AP6" s="9"/>
      <c r="AQ6" s="9">
        <v>1</v>
      </c>
      <c r="AR6" s="9"/>
      <c r="AS6" s="9">
        <v>1</v>
      </c>
      <c r="AT6" s="9"/>
      <c r="AU6" s="9">
        <v>1</v>
      </c>
      <c r="AV6" s="9"/>
      <c r="AW6" s="9">
        <v>1</v>
      </c>
      <c r="AX6" s="9"/>
      <c r="AY6" s="9">
        <v>1</v>
      </c>
      <c r="AZ6" s="9"/>
      <c r="BA6" s="9">
        <v>1</v>
      </c>
      <c r="BB6" s="9"/>
      <c r="BC6" s="9">
        <v>1</v>
      </c>
      <c r="BD6" s="9"/>
      <c r="BE6" s="9">
        <v>1</v>
      </c>
      <c r="BF6" s="9"/>
      <c r="BG6" s="9">
        <v>1</v>
      </c>
      <c r="BH6" s="9"/>
      <c r="BI6" s="9">
        <v>1</v>
      </c>
      <c r="BJ6" s="9"/>
      <c r="BK6" s="9">
        <v>1</v>
      </c>
      <c r="BL6" s="9"/>
      <c r="BM6" s="9">
        <v>1</v>
      </c>
      <c r="BN6" s="9"/>
      <c r="BO6" s="9">
        <v>1</v>
      </c>
      <c r="BP6" s="9"/>
      <c r="BQ6" s="9">
        <v>1</v>
      </c>
      <c r="BR6" s="9"/>
      <c r="BS6" s="9">
        <v>1</v>
      </c>
      <c r="BT6" s="9"/>
      <c r="BU6" s="9">
        <v>1</v>
      </c>
      <c r="BV6" s="9"/>
      <c r="BW6" s="9">
        <v>1</v>
      </c>
      <c r="BX6" s="9"/>
      <c r="BY6" s="9">
        <v>1</v>
      </c>
      <c r="BZ6" s="9"/>
      <c r="CA6" s="9">
        <v>1</v>
      </c>
      <c r="CB6" s="9"/>
      <c r="CC6" s="9">
        <v>1</v>
      </c>
      <c r="CD6" s="9"/>
      <c r="CE6" s="9">
        <v>1</v>
      </c>
      <c r="CF6" s="9"/>
      <c r="CG6" s="9">
        <v>1</v>
      </c>
      <c r="CH6" s="9"/>
      <c r="CI6" s="9">
        <v>1</v>
      </c>
      <c r="CJ6" s="9"/>
      <c r="CK6" s="9">
        <v>1</v>
      </c>
      <c r="CL6" s="9"/>
      <c r="CM6" s="9">
        <v>1</v>
      </c>
      <c r="CN6" s="9"/>
      <c r="CO6" s="9">
        <v>1</v>
      </c>
      <c r="CP6" s="9"/>
      <c r="CQ6" s="9">
        <v>1</v>
      </c>
      <c r="CR6" s="9"/>
      <c r="CS6" s="9">
        <v>1</v>
      </c>
      <c r="CT6" s="9"/>
      <c r="CU6" s="9">
        <v>1</v>
      </c>
      <c r="CV6" s="9"/>
      <c r="CW6" s="32" cm="1">
        <f t="array" ref="CW6">SUMPRODUCT(IF(MOD(COLUMN(C6:CV6),2)=1,IF(ISNUMBER(C6:CV6),C6:CV6),0))</f>
        <v>49</v>
      </c>
      <c r="CX6" s="33" cm="1">
        <f t="array" ref="CX6">SUM(IF(MOD(COLUMN(C6:CV6),2)=0,C6:CV6,0))</f>
        <v>0</v>
      </c>
      <c r="CY6" s="34" cm="1">
        <f t="array" ref="CY6">SUMPRODUCT(IF(MOD(COLUMN(C6:CV6),2)=1,IF(C6:CV6="G",8),0))</f>
        <v>0</v>
      </c>
      <c r="CZ6" s="35" cm="1">
        <f t="array" ref="CZ6">SUMPRODUCT(IF(MOD(COLUMN(C6:CV6),2)=1,IF(C6:CV6="S",8),0))</f>
        <v>0</v>
      </c>
      <c r="DA6" s="36" cm="1">
        <f t="array" ref="DA6">SUMPRODUCT(IF(MOD(COLUMN(C6:CV6),2)=1,IF(C6:CV6="M",8),0))</f>
        <v>0</v>
      </c>
    </row>
    <row r="7" spans="1:109" x14ac:dyDescent="0.25">
      <c r="A7" s="40">
        <f>Employees!A11</f>
        <v>3</v>
      </c>
      <c r="B7" s="45" t="str">
        <f>Employees!D11</f>
        <v>Dian3</v>
      </c>
      <c r="C7" s="9">
        <v>1</v>
      </c>
      <c r="D7" s="9"/>
      <c r="E7" s="9">
        <v>1</v>
      </c>
      <c r="F7" s="9"/>
      <c r="G7" s="9">
        <v>1</v>
      </c>
      <c r="H7" s="9"/>
      <c r="I7" s="9">
        <v>1</v>
      </c>
      <c r="J7" s="9"/>
      <c r="K7" s="9">
        <v>1</v>
      </c>
      <c r="L7" s="9"/>
      <c r="M7" s="9">
        <v>1</v>
      </c>
      <c r="N7" s="9"/>
      <c r="O7" s="9">
        <v>1</v>
      </c>
      <c r="P7" s="9"/>
      <c r="Q7" s="9">
        <v>1</v>
      </c>
      <c r="R7" s="9"/>
      <c r="S7" s="9">
        <v>1</v>
      </c>
      <c r="T7" s="9"/>
      <c r="U7" s="9">
        <v>1</v>
      </c>
      <c r="V7" s="9"/>
      <c r="W7" s="9">
        <v>1</v>
      </c>
      <c r="X7" s="9"/>
      <c r="Y7" s="9">
        <v>1</v>
      </c>
      <c r="Z7" s="9"/>
      <c r="AA7" s="9">
        <v>1</v>
      </c>
      <c r="AB7" s="9"/>
      <c r="AC7" s="9">
        <v>1</v>
      </c>
      <c r="AD7" s="9"/>
      <c r="AE7" s="9">
        <v>1</v>
      </c>
      <c r="AF7" s="9"/>
      <c r="AG7" s="9">
        <v>1</v>
      </c>
      <c r="AH7" s="9"/>
      <c r="AI7" s="9">
        <v>1</v>
      </c>
      <c r="AJ7" s="9"/>
      <c r="AK7" s="9">
        <v>1</v>
      </c>
      <c r="AL7" s="9"/>
      <c r="AM7" s="9">
        <v>1</v>
      </c>
      <c r="AN7" s="9"/>
      <c r="AO7" s="9">
        <v>1</v>
      </c>
      <c r="AP7" s="9"/>
      <c r="AQ7" s="9">
        <v>1</v>
      </c>
      <c r="AR7" s="9"/>
      <c r="AS7" s="9">
        <v>1</v>
      </c>
      <c r="AT7" s="9"/>
      <c r="AU7" s="9">
        <v>1</v>
      </c>
      <c r="AV7" s="9"/>
      <c r="AW7" s="9">
        <v>1</v>
      </c>
      <c r="AX7" s="9"/>
      <c r="AY7" s="9">
        <v>1</v>
      </c>
      <c r="AZ7" s="9"/>
      <c r="BA7" s="9">
        <v>1</v>
      </c>
      <c r="BB7" s="9"/>
      <c r="BC7" s="9">
        <v>1</v>
      </c>
      <c r="BD7" s="9"/>
      <c r="BE7" s="9">
        <v>1</v>
      </c>
      <c r="BF7" s="9"/>
      <c r="BG7" s="9">
        <v>1</v>
      </c>
      <c r="BH7" s="9"/>
      <c r="BI7" s="9">
        <v>1</v>
      </c>
      <c r="BJ7" s="9"/>
      <c r="BK7" s="9">
        <v>1</v>
      </c>
      <c r="BL7" s="9"/>
      <c r="BM7" s="9">
        <v>1</v>
      </c>
      <c r="BN7" s="9"/>
      <c r="BO7" s="9">
        <v>1</v>
      </c>
      <c r="BP7" s="9"/>
      <c r="BQ7" s="9">
        <v>1</v>
      </c>
      <c r="BR7" s="9"/>
      <c r="BS7" s="9">
        <v>1</v>
      </c>
      <c r="BT7" s="9"/>
      <c r="BU7" s="9">
        <v>1</v>
      </c>
      <c r="BV7" s="9"/>
      <c r="BW7" s="9">
        <v>1</v>
      </c>
      <c r="BX7" s="9"/>
      <c r="BY7" s="9">
        <v>1</v>
      </c>
      <c r="BZ7" s="9"/>
      <c r="CA7" s="9">
        <v>1</v>
      </c>
      <c r="CB7" s="9"/>
      <c r="CC7" s="9">
        <v>1</v>
      </c>
      <c r="CD7" s="9"/>
      <c r="CE7" s="9">
        <v>1</v>
      </c>
      <c r="CF7" s="9"/>
      <c r="CG7" s="9">
        <v>1</v>
      </c>
      <c r="CH7" s="9"/>
      <c r="CI7" s="9">
        <v>1</v>
      </c>
      <c r="CJ7" s="9"/>
      <c r="CK7" s="9">
        <v>1</v>
      </c>
      <c r="CL7" s="9"/>
      <c r="CM7" s="9">
        <v>1</v>
      </c>
      <c r="CN7" s="9"/>
      <c r="CO7" s="9">
        <v>1</v>
      </c>
      <c r="CP7" s="9"/>
      <c r="CQ7" s="9">
        <v>1</v>
      </c>
      <c r="CR7" s="9"/>
      <c r="CS7" s="9">
        <v>1</v>
      </c>
      <c r="CT7" s="9"/>
      <c r="CU7" s="9">
        <v>1</v>
      </c>
      <c r="CV7" s="9"/>
      <c r="CW7" s="32" cm="1">
        <f t="array" ref="CW7">SUMPRODUCT(IF(MOD(COLUMN(C7:CV7),2)=1,IF(ISNUMBER(C7:CV7),C7:CV7),0))</f>
        <v>49</v>
      </c>
      <c r="CX7" s="33" cm="1">
        <f t="array" ref="CX7">SUM(IF(MOD(COLUMN(C7:CV7),2)=0,C7:CV7,0))</f>
        <v>0</v>
      </c>
      <c r="CY7" s="34" cm="1">
        <f t="array" ref="CY7">SUMPRODUCT(IF(MOD(COLUMN(C7:CV7),2)=1,IF(C7:CV7="G",8),0))</f>
        <v>0</v>
      </c>
      <c r="CZ7" s="35" cm="1">
        <f t="array" ref="CZ7">SUMPRODUCT(IF(MOD(COLUMN(C7:CV7),2)=1,IF(C7:CV7="S",8),0))</f>
        <v>0</v>
      </c>
      <c r="DA7" s="36" cm="1">
        <f t="array" ref="DA7">SUMPRODUCT(IF(MOD(COLUMN(C7:CV7),2)=1,IF(C7:CV7="M",8),0))</f>
        <v>0</v>
      </c>
    </row>
    <row r="8" spans="1:109" x14ac:dyDescent="0.25">
      <c r="A8" s="40">
        <f>Employees!A12</f>
        <v>4</v>
      </c>
      <c r="B8" s="45">
        <f>Employees!D12</f>
        <v>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32" cm="1">
        <f t="array" ref="CW8">SUMPRODUCT(IF(MOD(COLUMN(C8:CV8),2)=1,IF(ISNUMBER(C8:CV8),C8:CV8),0))</f>
        <v>0</v>
      </c>
      <c r="CX8" s="33" cm="1">
        <f t="array" ref="CX8">SUM(IF(MOD(COLUMN(C8:CV8),2)=0,C8:CV8,0))</f>
        <v>0</v>
      </c>
      <c r="CY8" s="34" cm="1">
        <f t="array" ref="CY8">SUMPRODUCT(IF(MOD(COLUMN(C8:CV8),2)=1,IF(C8:CV8="G",8),0))</f>
        <v>0</v>
      </c>
      <c r="CZ8" s="35" cm="1">
        <f t="array" ref="CZ8">SUMPRODUCT(IF(MOD(COLUMN(C8:CV8),2)=1,IF(C8:CV8="S",8),0))</f>
        <v>0</v>
      </c>
      <c r="DA8" s="36" cm="1">
        <f t="array" ref="DA8">SUMPRODUCT(IF(MOD(COLUMN(C8:CV8),2)=1,IF(C8:CV8="M",8),0))</f>
        <v>0</v>
      </c>
    </row>
    <row r="9" spans="1:109" x14ac:dyDescent="0.25">
      <c r="A9" s="40">
        <f>Employees!A13</f>
        <v>5</v>
      </c>
      <c r="B9" s="45">
        <f>Employees!D13</f>
        <v>0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32" cm="1">
        <f t="array" ref="CW9">SUMPRODUCT(IF(MOD(COLUMN(C9:CV9),2)=1,IF(ISNUMBER(C9:CV9),C9:CV9),0))</f>
        <v>0</v>
      </c>
      <c r="CX9" s="33" cm="1">
        <f t="array" ref="CX9">SUM(IF(MOD(COLUMN(C9:CV9),2)=0,C9:CV9,0))</f>
        <v>0</v>
      </c>
      <c r="CY9" s="34" cm="1">
        <f t="array" ref="CY9">SUMPRODUCT(IF(MOD(COLUMN(C9:CV9),2)=1,IF(C9:CV9="G",8),0))</f>
        <v>0</v>
      </c>
      <c r="CZ9" s="35" cm="1">
        <f t="array" ref="CZ9">SUMPRODUCT(IF(MOD(COLUMN(C9:CV9),2)=1,IF(C9:CV9="S",8),0))</f>
        <v>0</v>
      </c>
      <c r="DA9" s="36" cm="1">
        <f t="array" ref="DA9">SUMPRODUCT(IF(MOD(COLUMN(C9:CV9),2)=1,IF(C9:CV9="M",8),0))</f>
        <v>0</v>
      </c>
    </row>
    <row r="10" spans="1:109" x14ac:dyDescent="0.25">
      <c r="A10" s="40">
        <f>Employees!A14</f>
        <v>6</v>
      </c>
      <c r="B10" s="45">
        <f>Employees!D14</f>
        <v>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32" cm="1">
        <f t="array" ref="CW10">SUMPRODUCT(IF(MOD(COLUMN(C10:CV10),2)=1,IF(ISNUMBER(C10:CV10),C10:CV10),0))</f>
        <v>0</v>
      </c>
      <c r="CX10" s="33" cm="1">
        <f t="array" ref="CX10">SUM(IF(MOD(COLUMN(C10:CV10),2)=0,C10:CV10,0))</f>
        <v>0</v>
      </c>
      <c r="CY10" s="34" cm="1">
        <f t="array" ref="CY10">SUMPRODUCT(IF(MOD(COLUMN(C10:CV10),2)=1,IF(C10:CV10="G",8),0))</f>
        <v>0</v>
      </c>
      <c r="CZ10" s="35" cm="1">
        <f t="array" ref="CZ10">SUMPRODUCT(IF(MOD(COLUMN(C10:CV10),2)=1,IF(C10:CV10="S",8),0))</f>
        <v>0</v>
      </c>
      <c r="DA10" s="36" cm="1">
        <f t="array" ref="DA10">SUMPRODUCT(IF(MOD(COLUMN(C10:CV10),2)=1,IF(C10:CV10="M",8),0))</f>
        <v>0</v>
      </c>
    </row>
    <row r="11" spans="1:109" x14ac:dyDescent="0.25">
      <c r="A11" s="40">
        <f>Employees!A15</f>
        <v>7</v>
      </c>
      <c r="B11" s="45">
        <f>Employees!D15</f>
        <v>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32" cm="1">
        <f t="array" ref="CW11">SUMPRODUCT(IF(MOD(COLUMN(C11:CV11),2)=1,IF(ISNUMBER(C11:CV11),C11:CV11),0))</f>
        <v>0</v>
      </c>
      <c r="CX11" s="33" cm="1">
        <f t="array" ref="CX11">SUM(IF(MOD(COLUMN(C11:CV11),2)=0,C11:CV11,0))</f>
        <v>0</v>
      </c>
      <c r="CY11" s="34" cm="1">
        <f t="array" ref="CY11">SUMPRODUCT(IF(MOD(COLUMN(C11:CV11),2)=1,IF(C11:CV11="G",8),0))</f>
        <v>0</v>
      </c>
      <c r="CZ11" s="35" cm="1">
        <f t="array" ref="CZ11">SUMPRODUCT(IF(MOD(COLUMN(C11:CV11),2)=1,IF(C11:CV11="S",8),0))</f>
        <v>0</v>
      </c>
      <c r="DA11" s="36" cm="1">
        <f t="array" ref="DA11">SUMPRODUCT(IF(MOD(COLUMN(C11:CV11),2)=1,IF(C11:CV11="M",8),0))</f>
        <v>0</v>
      </c>
    </row>
    <row r="12" spans="1:109" x14ac:dyDescent="0.25">
      <c r="A12" s="40">
        <f>Employees!A16</f>
        <v>8</v>
      </c>
      <c r="B12" s="45">
        <f>Employees!D16</f>
        <v>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32" cm="1">
        <f t="array" ref="CW12">SUMPRODUCT(IF(MOD(COLUMN(C12:CV12),2)=1,IF(ISNUMBER(C12:CV12),C12:CV12),0))</f>
        <v>0</v>
      </c>
      <c r="CX12" s="33" cm="1">
        <f t="array" ref="CX12">SUM(IF(MOD(COLUMN(C12:CV12),2)=0,C12:CV12,0))</f>
        <v>0</v>
      </c>
      <c r="CY12" s="34" cm="1">
        <f t="array" ref="CY12">SUMPRODUCT(IF(MOD(COLUMN(C12:CV12),2)=1,IF(C12:CV12="G",8),0))</f>
        <v>0</v>
      </c>
      <c r="CZ12" s="35" cm="1">
        <f t="array" ref="CZ12">SUMPRODUCT(IF(MOD(COLUMN(C12:CV12),2)=1,IF(C12:CV12="S",8),0))</f>
        <v>0</v>
      </c>
      <c r="DA12" s="36" cm="1">
        <f t="array" ref="DA12">SUMPRODUCT(IF(MOD(COLUMN(C12:CV12),2)=1,IF(C12:CV12="M",8),0))</f>
        <v>0</v>
      </c>
    </row>
    <row r="13" spans="1:109" x14ac:dyDescent="0.25">
      <c r="A13" s="40">
        <f>Employees!A17</f>
        <v>9</v>
      </c>
      <c r="B13" s="45">
        <f>Employees!D17</f>
        <v>0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32" cm="1">
        <f t="array" ref="CW13">SUMPRODUCT(IF(MOD(COLUMN(C13:CV13),2)=1,IF(ISNUMBER(C13:CV13),C13:CV13),0))</f>
        <v>0</v>
      </c>
      <c r="CX13" s="33" cm="1">
        <f t="array" ref="CX13">SUM(IF(MOD(COLUMN(C13:CV13),2)=0,C13:CV13,0))</f>
        <v>0</v>
      </c>
      <c r="CY13" s="34" cm="1">
        <f t="array" ref="CY13">SUMPRODUCT(IF(MOD(COLUMN(C13:CV13),2)=1,IF(C13:CV13="G",8),0))</f>
        <v>0</v>
      </c>
      <c r="CZ13" s="35" cm="1">
        <f t="array" ref="CZ13">SUMPRODUCT(IF(MOD(COLUMN(C13:CV13),2)=1,IF(C13:CV13="S",8),0))</f>
        <v>0</v>
      </c>
      <c r="DA13" s="36" cm="1">
        <f t="array" ref="DA13">SUMPRODUCT(IF(MOD(COLUMN(C13:CV13),2)=1,IF(C13:CV13="M",8),0))</f>
        <v>0</v>
      </c>
    </row>
    <row r="14" spans="1:109" x14ac:dyDescent="0.25">
      <c r="A14" s="40">
        <f>Employees!A18</f>
        <v>10</v>
      </c>
      <c r="B14" s="45">
        <f>Employees!D18</f>
        <v>0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32" cm="1">
        <f t="array" ref="CW14">SUMPRODUCT(IF(MOD(COLUMN(C14:CV14),2)=1,IF(ISNUMBER(C14:CV14),C14:CV14),0))</f>
        <v>0</v>
      </c>
      <c r="CX14" s="33" cm="1">
        <f t="array" ref="CX14">SUM(IF(MOD(COLUMN(C14:CV14),2)=0,C14:CV14,0))</f>
        <v>0</v>
      </c>
      <c r="CY14" s="34" cm="1">
        <f t="array" ref="CY14">SUMPRODUCT(IF(MOD(COLUMN(C14:CV14),2)=1,IF(C14:CV14="G",8),0))</f>
        <v>0</v>
      </c>
      <c r="CZ14" s="35" cm="1">
        <f t="array" ref="CZ14">SUMPRODUCT(IF(MOD(COLUMN(C14:CV14),2)=1,IF(C14:CV14="S",8),0))</f>
        <v>0</v>
      </c>
      <c r="DA14" s="36" cm="1">
        <f t="array" ref="DA14">SUMPRODUCT(IF(MOD(COLUMN(C14:CV14),2)=1,IF(C14:CV14="M",8),0))</f>
        <v>0</v>
      </c>
    </row>
    <row r="15" spans="1:109" x14ac:dyDescent="0.25">
      <c r="A15" s="40">
        <f>Employees!A19</f>
        <v>11</v>
      </c>
      <c r="B15" s="45">
        <f>Employees!D19</f>
        <v>0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32" cm="1">
        <f t="array" ref="CW15">SUMPRODUCT(IF(MOD(COLUMN(C15:CV15),2)=1,IF(ISNUMBER(C15:CV15),C15:CV15),0))</f>
        <v>0</v>
      </c>
      <c r="CX15" s="33" cm="1">
        <f t="array" ref="CX15">SUM(IF(MOD(COLUMN(C15:CV15),2)=0,C15:CV15,0))</f>
        <v>0</v>
      </c>
      <c r="CY15" s="34" cm="1">
        <f t="array" ref="CY15">SUMPRODUCT(IF(MOD(COLUMN(C15:CV15),2)=1,IF(C15:CV15="G",8),0))</f>
        <v>0</v>
      </c>
      <c r="CZ15" s="35" cm="1">
        <f t="array" ref="CZ15">SUMPRODUCT(IF(MOD(COLUMN(C15:CV15),2)=1,IF(C15:CV15="S",8),0))</f>
        <v>0</v>
      </c>
      <c r="DA15" s="36" cm="1">
        <f t="array" ref="DA15">SUMPRODUCT(IF(MOD(COLUMN(C15:CV15),2)=1,IF(C15:CV15="M",8),0))</f>
        <v>0</v>
      </c>
    </row>
    <row r="16" spans="1:109" x14ac:dyDescent="0.25">
      <c r="A16" s="40">
        <f>Employees!A20</f>
        <v>12</v>
      </c>
      <c r="B16" s="45">
        <f>Employees!D20</f>
        <v>0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32" cm="1">
        <f t="array" ref="CW16">SUMPRODUCT(IF(MOD(COLUMN(C16:CV16),2)=1,IF(ISNUMBER(C16:CV16),C16:CV16),0))</f>
        <v>0</v>
      </c>
      <c r="CX16" s="33" cm="1">
        <f t="array" ref="CX16">SUM(IF(MOD(COLUMN(C16:CV16),2)=0,C16:CV16,0))</f>
        <v>0</v>
      </c>
      <c r="CY16" s="34" cm="1">
        <f t="array" ref="CY16">SUMPRODUCT(IF(MOD(COLUMN(C16:CV16),2)=1,IF(C16:CV16="G",8),0))</f>
        <v>0</v>
      </c>
      <c r="CZ16" s="35" cm="1">
        <f t="array" ref="CZ16">SUMPRODUCT(IF(MOD(COLUMN(C16:CV16),2)=1,IF(C16:CV16="S",8),0))</f>
        <v>0</v>
      </c>
      <c r="DA16" s="36" cm="1">
        <f t="array" ref="DA16">SUMPRODUCT(IF(MOD(COLUMN(C16:CV16),2)=1,IF(C16:CV16="M",8),0))</f>
        <v>0</v>
      </c>
    </row>
    <row r="17" spans="1:105" x14ac:dyDescent="0.25">
      <c r="A17" s="40">
        <f>Employees!A21</f>
        <v>13</v>
      </c>
      <c r="B17" s="45">
        <f>Employees!D21</f>
        <v>0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32" cm="1">
        <f t="array" ref="CW17">SUMPRODUCT(IF(MOD(COLUMN(C17:CV17),2)=1,IF(ISNUMBER(C17:CV17),C17:CV17),0))</f>
        <v>0</v>
      </c>
      <c r="CX17" s="33" cm="1">
        <f t="array" ref="CX17">SUM(IF(MOD(COLUMN(C17:CV17),2)=0,C17:CV17,0))</f>
        <v>0</v>
      </c>
      <c r="CY17" s="34" cm="1">
        <f t="array" ref="CY17">SUMPRODUCT(IF(MOD(COLUMN(C17:CV17),2)=1,IF(C17:CV17="G",8),0))</f>
        <v>0</v>
      </c>
      <c r="CZ17" s="35" cm="1">
        <f t="array" ref="CZ17">SUMPRODUCT(IF(MOD(COLUMN(C17:CV17),2)=1,IF(C17:CV17="S",8),0))</f>
        <v>0</v>
      </c>
      <c r="DA17" s="36" cm="1">
        <f t="array" ref="DA17">SUMPRODUCT(IF(MOD(COLUMN(C17:CV17),2)=1,IF(C17:CV17="M",8),0))</f>
        <v>0</v>
      </c>
    </row>
    <row r="18" spans="1:105" x14ac:dyDescent="0.25">
      <c r="A18" s="40">
        <f>Employees!A22</f>
        <v>14</v>
      </c>
      <c r="B18" s="45">
        <f>Employees!D22</f>
        <v>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32" cm="1">
        <f t="array" ref="CW18">SUMPRODUCT(IF(MOD(COLUMN(C18:CV18),2)=1,IF(ISNUMBER(C18:CV18),C18:CV18),0))</f>
        <v>0</v>
      </c>
      <c r="CX18" s="33" cm="1">
        <f t="array" ref="CX18">SUM(IF(MOD(COLUMN(C18:CV18),2)=0,C18:CV18,0))</f>
        <v>0</v>
      </c>
      <c r="CY18" s="34" cm="1">
        <f t="array" ref="CY18">SUMPRODUCT(IF(MOD(COLUMN(C18:CV18),2)=1,IF(C18:CV18="G",8),0))</f>
        <v>0</v>
      </c>
      <c r="CZ18" s="35" cm="1">
        <f t="array" ref="CZ18">SUMPRODUCT(IF(MOD(COLUMN(C18:CV18),2)=1,IF(C18:CV18="S",8),0))</f>
        <v>0</v>
      </c>
      <c r="DA18" s="36" cm="1">
        <f t="array" ref="DA18">SUMPRODUCT(IF(MOD(COLUMN(C18:CV18),2)=1,IF(C18:CV18="M",8),0))</f>
        <v>0</v>
      </c>
    </row>
    <row r="19" spans="1:105" x14ac:dyDescent="0.25">
      <c r="A19" s="40">
        <f>Employees!A23</f>
        <v>15</v>
      </c>
      <c r="B19" s="45">
        <f>Employees!D23</f>
        <v>0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32" cm="1">
        <f t="array" ref="CW19">SUMPRODUCT(IF(MOD(COLUMN(C19:CV19),2)=1,IF(ISNUMBER(C19:CV19),C19:CV19),0))</f>
        <v>0</v>
      </c>
      <c r="CX19" s="33" cm="1">
        <f t="array" ref="CX19">SUM(IF(MOD(COLUMN(C19:CV19),2)=0,C19:CV19,0))</f>
        <v>0</v>
      </c>
      <c r="CY19" s="34" cm="1">
        <f t="array" ref="CY19">SUMPRODUCT(IF(MOD(COLUMN(C19:CV19),2)=1,IF(C19:CV19="G",8),0))</f>
        <v>0</v>
      </c>
      <c r="CZ19" s="35" cm="1">
        <f t="array" ref="CZ19">SUMPRODUCT(IF(MOD(COLUMN(C19:CV19),2)=1,IF(C19:CV19="S",8),0))</f>
        <v>0</v>
      </c>
      <c r="DA19" s="36" cm="1">
        <f t="array" ref="DA19">SUMPRODUCT(IF(MOD(COLUMN(C19:CV19),2)=1,IF(C19:CV19="M",8),0))</f>
        <v>0</v>
      </c>
    </row>
    <row r="20" spans="1:105" x14ac:dyDescent="0.25">
      <c r="A20" s="40">
        <f>Employees!A24</f>
        <v>16</v>
      </c>
      <c r="B20" s="45">
        <f>Employees!D24</f>
        <v>0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32" cm="1">
        <f t="array" ref="CW20">SUMPRODUCT(IF(MOD(COLUMN(C20:CV20),2)=1,IF(ISNUMBER(C20:CV20),C20:CV20),0))</f>
        <v>0</v>
      </c>
      <c r="CX20" s="33" cm="1">
        <f t="array" ref="CX20">SUM(IF(MOD(COLUMN(C20:CV20),2)=0,C20:CV20,0))</f>
        <v>0</v>
      </c>
      <c r="CY20" s="34" cm="1">
        <f t="array" ref="CY20">SUMPRODUCT(IF(MOD(COLUMN(C20:CV20),2)=1,IF(C20:CV20="G",8),0))</f>
        <v>0</v>
      </c>
      <c r="CZ20" s="35" cm="1">
        <f t="array" ref="CZ20">SUMPRODUCT(IF(MOD(COLUMN(C20:CV20),2)=1,IF(C20:CV20="S",8),0))</f>
        <v>0</v>
      </c>
      <c r="DA20" s="36" cm="1">
        <f t="array" ref="DA20">SUMPRODUCT(IF(MOD(COLUMN(C20:CV20),2)=1,IF(C20:CV20="M",8),0))</f>
        <v>0</v>
      </c>
    </row>
    <row r="21" spans="1:105" x14ac:dyDescent="0.25">
      <c r="A21" s="40">
        <f>Employees!A25</f>
        <v>17</v>
      </c>
      <c r="B21" s="45">
        <f>Employees!D25</f>
        <v>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32" cm="1">
        <f t="array" ref="CW21">SUMPRODUCT(IF(MOD(COLUMN(C21:CV21),2)=1,IF(ISNUMBER(C21:CV21),C21:CV21),0))</f>
        <v>0</v>
      </c>
      <c r="CX21" s="33" cm="1">
        <f t="array" ref="CX21">SUM(IF(MOD(COLUMN(C21:CV21),2)=0,C21:CV21,0))</f>
        <v>0</v>
      </c>
      <c r="CY21" s="34" cm="1">
        <f t="array" ref="CY21">SUMPRODUCT(IF(MOD(COLUMN(C21:CV21),2)=1,IF(C21:CV21="G",8),0))</f>
        <v>0</v>
      </c>
      <c r="CZ21" s="35" cm="1">
        <f t="array" ref="CZ21">SUMPRODUCT(IF(MOD(COLUMN(C21:CV21),2)=1,IF(C21:CV21="S",8),0))</f>
        <v>0</v>
      </c>
      <c r="DA21" s="36" cm="1">
        <f t="array" ref="DA21">SUMPRODUCT(IF(MOD(COLUMN(C21:CV21),2)=1,IF(C21:CV21="M",8),0))</f>
        <v>0</v>
      </c>
    </row>
    <row r="22" spans="1:105" x14ac:dyDescent="0.25">
      <c r="A22" s="40">
        <f>Employees!A26</f>
        <v>18</v>
      </c>
      <c r="B22" s="45">
        <f>Employees!D26</f>
        <v>0</v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32" cm="1">
        <f t="array" ref="CW22">SUMPRODUCT(IF(MOD(COLUMN(C22:CV22),2)=1,IF(ISNUMBER(C22:CV22),C22:CV22),0))</f>
        <v>0</v>
      </c>
      <c r="CX22" s="33" cm="1">
        <f t="array" ref="CX22">SUM(IF(MOD(COLUMN(C22:CV22),2)=0,C22:CV22,0))</f>
        <v>0</v>
      </c>
      <c r="CY22" s="34" cm="1">
        <f t="array" ref="CY22">SUMPRODUCT(IF(MOD(COLUMN(C22:CV22),2)=1,IF(C22:CV22="G",8),0))</f>
        <v>0</v>
      </c>
      <c r="CZ22" s="35" cm="1">
        <f t="array" ref="CZ22">SUMPRODUCT(IF(MOD(COLUMN(C22:CV22),2)=1,IF(C22:CV22="S",8),0))</f>
        <v>0</v>
      </c>
      <c r="DA22" s="36" cm="1">
        <f t="array" ref="DA22">SUMPRODUCT(IF(MOD(COLUMN(C22:CV22),2)=1,IF(C22:CV22="M",8),0))</f>
        <v>0</v>
      </c>
    </row>
    <row r="23" spans="1:105" x14ac:dyDescent="0.25">
      <c r="A23" s="40">
        <f>Employees!A27</f>
        <v>19</v>
      </c>
      <c r="B23" s="45">
        <f>Employees!D27</f>
        <v>0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32" cm="1">
        <f t="array" ref="CW23">SUMPRODUCT(IF(MOD(COLUMN(C23:CV23),2)=1,IF(ISNUMBER(C23:CV23),C23:CV23),0))</f>
        <v>0</v>
      </c>
      <c r="CX23" s="33" cm="1">
        <f t="array" ref="CX23">SUM(IF(MOD(COLUMN(C23:CV23),2)=0,C23:CV23,0))</f>
        <v>0</v>
      </c>
      <c r="CY23" s="34" cm="1">
        <f t="array" ref="CY23">SUMPRODUCT(IF(MOD(COLUMN(C23:CV23),2)=1,IF(C23:CV23="G",8),0))</f>
        <v>0</v>
      </c>
      <c r="CZ23" s="35" cm="1">
        <f t="array" ref="CZ23">SUMPRODUCT(IF(MOD(COLUMN(C23:CV23),2)=1,IF(C23:CV23="S",8),0))</f>
        <v>0</v>
      </c>
      <c r="DA23" s="36" cm="1">
        <f t="array" ref="DA23">SUMPRODUCT(IF(MOD(COLUMN(C23:CV23),2)=1,IF(C23:CV23="M",8),0))</f>
        <v>0</v>
      </c>
    </row>
    <row r="24" spans="1:105" x14ac:dyDescent="0.25">
      <c r="A24" s="40">
        <f>Employees!A28</f>
        <v>20</v>
      </c>
      <c r="B24" s="45">
        <f>Employees!D28</f>
        <v>0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32" cm="1">
        <f t="array" ref="CW24">SUMPRODUCT(IF(MOD(COLUMN(C24:CV24),2)=1,IF(ISNUMBER(C24:CV24),C24:CV24),0))</f>
        <v>0</v>
      </c>
      <c r="CX24" s="33" cm="1">
        <f t="array" ref="CX24">SUM(IF(MOD(COLUMN(C24:CV24),2)=0,C24:CV24,0))</f>
        <v>0</v>
      </c>
      <c r="CY24" s="34" cm="1">
        <f t="array" ref="CY24">SUMPRODUCT(IF(MOD(COLUMN(C24:CV24),2)=1,IF(C24:CV24="G",8),0))</f>
        <v>0</v>
      </c>
      <c r="CZ24" s="35" cm="1">
        <f t="array" ref="CZ24">SUMPRODUCT(IF(MOD(COLUMN(C24:CV24),2)=1,IF(C24:CV24="S",8),0))</f>
        <v>0</v>
      </c>
      <c r="DA24" s="36" cm="1">
        <f t="array" ref="DA24">SUMPRODUCT(IF(MOD(COLUMN(C24:CV24),2)=1,IF(C24:CV24="M",8),0))</f>
        <v>0</v>
      </c>
    </row>
    <row r="25" spans="1:105" x14ac:dyDescent="0.25">
      <c r="A25" s="40">
        <f>Employees!A29</f>
        <v>21</v>
      </c>
      <c r="B25" s="45">
        <f>Employees!D29</f>
        <v>0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32" cm="1">
        <f t="array" ref="CW25">SUMPRODUCT(IF(MOD(COLUMN(C25:CV25),2)=1,IF(ISNUMBER(C25:CV25),C25:CV25),0))</f>
        <v>0</v>
      </c>
      <c r="CX25" s="33" cm="1">
        <f t="array" ref="CX25">SUM(IF(MOD(COLUMN(C25:CV25),2)=0,C25:CV25,0))</f>
        <v>0</v>
      </c>
      <c r="CY25" s="34" cm="1">
        <f t="array" ref="CY25">SUMPRODUCT(IF(MOD(COLUMN(C25:CV25),2)=1,IF(C25:CV25="G",8),0))</f>
        <v>0</v>
      </c>
      <c r="CZ25" s="35" cm="1">
        <f t="array" ref="CZ25">SUMPRODUCT(IF(MOD(COLUMN(C25:CV25),2)=1,IF(C25:CV25="S",8),0))</f>
        <v>0</v>
      </c>
      <c r="DA25" s="36" cm="1">
        <f t="array" ref="DA25">SUMPRODUCT(IF(MOD(COLUMN(C25:CV25),2)=1,IF(C25:CV25="M",8),0))</f>
        <v>0</v>
      </c>
    </row>
    <row r="26" spans="1:105" x14ac:dyDescent="0.25">
      <c r="A26" s="40">
        <f>Employees!A30</f>
        <v>22</v>
      </c>
      <c r="B26" s="45">
        <f>Employees!D30</f>
        <v>0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32" cm="1">
        <f t="array" ref="CW26">SUMPRODUCT(IF(MOD(COLUMN(C26:CV26),2)=1,IF(ISNUMBER(C26:CV26),C26:CV26),0))</f>
        <v>0</v>
      </c>
      <c r="CX26" s="33" cm="1">
        <f t="array" ref="CX26">SUM(IF(MOD(COLUMN(C26:CV26),2)=0,C26:CV26,0))</f>
        <v>0</v>
      </c>
      <c r="CY26" s="34" cm="1">
        <f t="array" ref="CY26">SUMPRODUCT(IF(MOD(COLUMN(C26:CV26),2)=1,IF(C26:CV26="G",8),0))</f>
        <v>0</v>
      </c>
      <c r="CZ26" s="35" cm="1">
        <f t="array" ref="CZ26">SUMPRODUCT(IF(MOD(COLUMN(C26:CV26),2)=1,IF(C26:CV26="S",8),0))</f>
        <v>0</v>
      </c>
      <c r="DA26" s="36" cm="1">
        <f t="array" ref="DA26">SUMPRODUCT(IF(MOD(COLUMN(C26:CV26),2)=1,IF(C26:CV26="M",8),0))</f>
        <v>0</v>
      </c>
    </row>
    <row r="27" spans="1:105" x14ac:dyDescent="0.25">
      <c r="A27" s="40">
        <f>Employees!A31</f>
        <v>23</v>
      </c>
      <c r="B27" s="45">
        <f>Employees!D31</f>
        <v>0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32" cm="1">
        <f t="array" ref="CW27">SUMPRODUCT(IF(MOD(COLUMN(C27:CV27),2)=1,IF(ISNUMBER(C27:CV27),C27:CV27),0))</f>
        <v>0</v>
      </c>
      <c r="CX27" s="33" cm="1">
        <f t="array" ref="CX27">SUM(IF(MOD(COLUMN(C27:CV27),2)=0,C27:CV27,0))</f>
        <v>0</v>
      </c>
      <c r="CY27" s="34" cm="1">
        <f t="array" ref="CY27">SUMPRODUCT(IF(MOD(COLUMN(C27:CV27),2)=1,IF(C27:CV27="G",8),0))</f>
        <v>0</v>
      </c>
      <c r="CZ27" s="35" cm="1">
        <f t="array" ref="CZ27">SUMPRODUCT(IF(MOD(COLUMN(C27:CV27),2)=1,IF(C27:CV27="S",8),0))</f>
        <v>0</v>
      </c>
      <c r="DA27" s="36" cm="1">
        <f t="array" ref="DA27">SUMPRODUCT(IF(MOD(COLUMN(C27:CV27),2)=1,IF(C27:CV27="M",8),0))</f>
        <v>0</v>
      </c>
    </row>
    <row r="28" spans="1:105" x14ac:dyDescent="0.25">
      <c r="A28" s="40">
        <f>Employees!A32</f>
        <v>24</v>
      </c>
      <c r="B28" s="45">
        <f>Employees!D32</f>
        <v>0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32" cm="1">
        <f t="array" ref="CW28">SUMPRODUCT(IF(MOD(COLUMN(C28:CV28),2)=1,IF(ISNUMBER(C28:CV28),C28:CV28),0))</f>
        <v>0</v>
      </c>
      <c r="CX28" s="33" cm="1">
        <f t="array" ref="CX28">SUM(IF(MOD(COLUMN(C28:CV28),2)=0,C28:CV28,0))</f>
        <v>0</v>
      </c>
      <c r="CY28" s="34" cm="1">
        <f t="array" ref="CY28">SUMPRODUCT(IF(MOD(COLUMN(C28:CV28),2)=1,IF(C28:CV28="G",8),0))</f>
        <v>0</v>
      </c>
      <c r="CZ28" s="35" cm="1">
        <f t="array" ref="CZ28">SUMPRODUCT(IF(MOD(COLUMN(C28:CV28),2)=1,IF(C28:CV28="S",8),0))</f>
        <v>0</v>
      </c>
      <c r="DA28" s="36" cm="1">
        <f t="array" ref="DA28">SUMPRODUCT(IF(MOD(COLUMN(C28:CV28),2)=1,IF(C28:CV28="M",8),0))</f>
        <v>0</v>
      </c>
    </row>
    <row r="29" spans="1:105" x14ac:dyDescent="0.25">
      <c r="A29" s="40">
        <f>Employees!A33</f>
        <v>25</v>
      </c>
      <c r="B29" s="45">
        <f>Employees!D33</f>
        <v>0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32" cm="1">
        <f t="array" ref="CW29">SUMPRODUCT(IF(MOD(COLUMN(C29:CV29),2)=1,IF(ISNUMBER(C29:CV29),C29:CV29),0))</f>
        <v>0</v>
      </c>
      <c r="CX29" s="33" cm="1">
        <f t="array" ref="CX29">SUM(IF(MOD(COLUMN(C29:CV29),2)=0,C29:CV29,0))</f>
        <v>0</v>
      </c>
      <c r="CY29" s="34" cm="1">
        <f t="array" ref="CY29">SUMPRODUCT(IF(MOD(COLUMN(C29:CV29),2)=1,IF(C29:CV29="G",8),0))</f>
        <v>0</v>
      </c>
      <c r="CZ29" s="35" cm="1">
        <f t="array" ref="CZ29">SUMPRODUCT(IF(MOD(COLUMN(C29:CV29),2)=1,IF(C29:CV29="S",8),0))</f>
        <v>0</v>
      </c>
      <c r="DA29" s="36" cm="1">
        <f t="array" ref="DA29">SUMPRODUCT(IF(MOD(COLUMN(C29:CV29),2)=1,IF(C29:CV29="M",8),0))</f>
        <v>0</v>
      </c>
    </row>
    <row r="30" spans="1:105" x14ac:dyDescent="0.25">
      <c r="A30" s="40">
        <f>Employees!A34</f>
        <v>26</v>
      </c>
      <c r="B30" s="45">
        <f>Employees!D34</f>
        <v>0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32" cm="1">
        <f t="array" ref="CW30">SUMPRODUCT(IF(MOD(COLUMN(C30:CV30),2)=1,IF(ISNUMBER(C30:CV30),C30:CV30),0))</f>
        <v>0</v>
      </c>
      <c r="CX30" s="33" cm="1">
        <f t="array" ref="CX30">SUM(IF(MOD(COLUMN(C30:CV30),2)=0,C30:CV30,0))</f>
        <v>0</v>
      </c>
      <c r="CY30" s="34" cm="1">
        <f t="array" ref="CY30">SUMPRODUCT(IF(MOD(COLUMN(C30:CV30),2)=1,IF(C30:CV30="G",8),0))</f>
        <v>0</v>
      </c>
      <c r="CZ30" s="35" cm="1">
        <f t="array" ref="CZ30">SUMPRODUCT(IF(MOD(COLUMN(C30:CV30),2)=1,IF(C30:CV30="S",8),0))</f>
        <v>0</v>
      </c>
      <c r="DA30" s="36" cm="1">
        <f t="array" ref="DA30">SUMPRODUCT(IF(MOD(COLUMN(C30:CV30),2)=1,IF(C30:CV30="M",8),0))</f>
        <v>0</v>
      </c>
    </row>
    <row r="31" spans="1:105" x14ac:dyDescent="0.25">
      <c r="A31" s="40">
        <f>Employees!A35</f>
        <v>27</v>
      </c>
      <c r="B31" s="45">
        <f>Employees!D35</f>
        <v>0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32" cm="1">
        <f t="array" ref="CW31">SUMPRODUCT(IF(MOD(COLUMN(C31:CV31),2)=1,IF(ISNUMBER(C31:CV31),C31:CV31),0))</f>
        <v>0</v>
      </c>
      <c r="CX31" s="33" cm="1">
        <f t="array" ref="CX31">SUM(IF(MOD(COLUMN(C31:CV31),2)=0,C31:CV31,0))</f>
        <v>0</v>
      </c>
      <c r="CY31" s="34" cm="1">
        <f t="array" ref="CY31">SUMPRODUCT(IF(MOD(COLUMN(C31:CV31),2)=1,IF(C31:CV31="G",8),0))</f>
        <v>0</v>
      </c>
      <c r="CZ31" s="35" cm="1">
        <f t="array" ref="CZ31">SUMPRODUCT(IF(MOD(COLUMN(C31:CV31),2)=1,IF(C31:CV31="S",8),0))</f>
        <v>0</v>
      </c>
      <c r="DA31" s="36" cm="1">
        <f t="array" ref="DA31">SUMPRODUCT(IF(MOD(COLUMN(C31:CV31),2)=1,IF(C31:CV31="M",8),0))</f>
        <v>0</v>
      </c>
    </row>
    <row r="32" spans="1:105" x14ac:dyDescent="0.25">
      <c r="A32" s="40">
        <f>Employees!A36</f>
        <v>28</v>
      </c>
      <c r="B32" s="45">
        <f>Employees!D36</f>
        <v>0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32" cm="1">
        <f t="array" ref="CW32">SUMPRODUCT(IF(MOD(COLUMN(C32:CV32),2)=1,IF(ISNUMBER(C32:CV32),C32:CV32),0))</f>
        <v>0</v>
      </c>
      <c r="CX32" s="33" cm="1">
        <f t="array" ref="CX32">SUM(IF(MOD(COLUMN(C32:CV32),2)=0,C32:CV32,0))</f>
        <v>0</v>
      </c>
      <c r="CY32" s="34" cm="1">
        <f t="array" ref="CY32">SUMPRODUCT(IF(MOD(COLUMN(C32:CV32),2)=1,IF(C32:CV32="G",8),0))</f>
        <v>0</v>
      </c>
      <c r="CZ32" s="35" cm="1">
        <f t="array" ref="CZ32">SUMPRODUCT(IF(MOD(COLUMN(C32:CV32),2)=1,IF(C32:CV32="S",8),0))</f>
        <v>0</v>
      </c>
      <c r="DA32" s="36" cm="1">
        <f t="array" ref="DA32">SUMPRODUCT(IF(MOD(COLUMN(C32:CV32),2)=1,IF(C32:CV32="M",8),0))</f>
        <v>0</v>
      </c>
    </row>
    <row r="33" spans="1:105" x14ac:dyDescent="0.25">
      <c r="A33" s="40">
        <f>Employees!A37</f>
        <v>29</v>
      </c>
      <c r="B33" s="45">
        <f>Employees!D37</f>
        <v>0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32" cm="1">
        <f t="array" ref="CW33">SUMPRODUCT(IF(MOD(COLUMN(C33:CV33),2)=1,IF(ISNUMBER(C33:CV33),C33:CV33),0))</f>
        <v>0</v>
      </c>
      <c r="CX33" s="33" cm="1">
        <f t="array" ref="CX33">SUM(IF(MOD(COLUMN(C33:CV33),2)=0,C33:CV33,0))</f>
        <v>0</v>
      </c>
      <c r="CY33" s="34" cm="1">
        <f t="array" ref="CY33">SUMPRODUCT(IF(MOD(COLUMN(C33:CV33),2)=1,IF(C33:CV33="G",8),0))</f>
        <v>0</v>
      </c>
      <c r="CZ33" s="35" cm="1">
        <f t="array" ref="CZ33">SUMPRODUCT(IF(MOD(COLUMN(C33:CV33),2)=1,IF(C33:CV33="S",8),0))</f>
        <v>0</v>
      </c>
      <c r="DA33" s="36" cm="1">
        <f t="array" ref="DA33">SUMPRODUCT(IF(MOD(COLUMN(C33:CV33),2)=1,IF(C33:CV33="M",8),0))</f>
        <v>0</v>
      </c>
    </row>
    <row r="34" spans="1:105" x14ac:dyDescent="0.25">
      <c r="A34" s="40">
        <f>Employees!A38</f>
        <v>30</v>
      </c>
      <c r="B34" s="45">
        <f>Employees!D38</f>
        <v>0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32" cm="1">
        <f t="array" ref="CW34">SUMPRODUCT(IF(MOD(COLUMN(C34:CV34),2)=1,IF(ISNUMBER(C34:CV34),C34:CV34),0))</f>
        <v>0</v>
      </c>
      <c r="CX34" s="33" cm="1">
        <f t="array" ref="CX34">SUM(IF(MOD(COLUMN(C34:CV34),2)=0,C34:CV34,0))</f>
        <v>0</v>
      </c>
      <c r="CY34" s="34" cm="1">
        <f t="array" ref="CY34">SUMPRODUCT(IF(MOD(COLUMN(C34:CV34),2)=1,IF(C34:CV34="G",8),0))</f>
        <v>0</v>
      </c>
      <c r="CZ34" s="35" cm="1">
        <f t="array" ref="CZ34">SUMPRODUCT(IF(MOD(COLUMN(C34:CV34),2)=1,IF(C34:CV34="S",8),0))</f>
        <v>0</v>
      </c>
      <c r="DA34" s="36" cm="1">
        <f t="array" ref="DA34">SUMPRODUCT(IF(MOD(COLUMN(C34:CV34),2)=1,IF(C34:CV34="M",8),0))</f>
        <v>0</v>
      </c>
    </row>
    <row r="35" spans="1:105" x14ac:dyDescent="0.25">
      <c r="A35" s="40">
        <f>Employees!A39</f>
        <v>31</v>
      </c>
      <c r="B35" s="45">
        <f>Employees!D39</f>
        <v>0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32" cm="1">
        <f t="array" ref="CW35">SUMPRODUCT(IF(MOD(COLUMN(C35:CV35),2)=1,IF(ISNUMBER(C35:CV35),C35:CV35),0))</f>
        <v>0</v>
      </c>
      <c r="CX35" s="33" cm="1">
        <f t="array" ref="CX35">SUM(IF(MOD(COLUMN(C35:CV35),2)=0,C35:CV35,0))</f>
        <v>0</v>
      </c>
      <c r="CY35" s="34" cm="1">
        <f t="array" ref="CY35">SUMPRODUCT(IF(MOD(COLUMN(C35:CV35),2)=1,IF(C35:CV35="G",8),0))</f>
        <v>0</v>
      </c>
      <c r="CZ35" s="35" cm="1">
        <f t="array" ref="CZ35">SUMPRODUCT(IF(MOD(COLUMN(C35:CV35),2)=1,IF(C35:CV35="S",8),0))</f>
        <v>0</v>
      </c>
      <c r="DA35" s="36" cm="1">
        <f t="array" ref="DA35">SUMPRODUCT(IF(MOD(COLUMN(C35:CV35),2)=1,IF(C35:CV35="M",8),0))</f>
        <v>0</v>
      </c>
    </row>
    <row r="36" spans="1:105" x14ac:dyDescent="0.25">
      <c r="A36" s="40">
        <f>Employees!A40</f>
        <v>32</v>
      </c>
      <c r="B36" s="45">
        <f>Employees!D40</f>
        <v>0</v>
      </c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32" cm="1">
        <f t="array" ref="CW36">SUMPRODUCT(IF(MOD(COLUMN(C36:CV36),2)=1,IF(ISNUMBER(C36:CV36),C36:CV36),0))</f>
        <v>0</v>
      </c>
      <c r="CX36" s="33" cm="1">
        <f t="array" ref="CX36">SUM(IF(MOD(COLUMN(C36:CV36),2)=0,C36:CV36,0))</f>
        <v>0</v>
      </c>
      <c r="CY36" s="34" cm="1">
        <f t="array" ref="CY36">SUMPRODUCT(IF(MOD(COLUMN(C36:CV36),2)=1,IF(C36:CV36="G",8),0))</f>
        <v>0</v>
      </c>
      <c r="CZ36" s="35" cm="1">
        <f t="array" ref="CZ36">SUMPRODUCT(IF(MOD(COLUMN(C36:CV36),2)=1,IF(C36:CV36="S",8),0))</f>
        <v>0</v>
      </c>
      <c r="DA36" s="36" cm="1">
        <f t="array" ref="DA36">SUMPRODUCT(IF(MOD(COLUMN(C36:CV36),2)=1,IF(C36:CV36="M",8),0))</f>
        <v>0</v>
      </c>
    </row>
    <row r="37" spans="1:105" x14ac:dyDescent="0.25">
      <c r="A37" s="40">
        <f>Employees!A41</f>
        <v>33</v>
      </c>
      <c r="B37" s="45">
        <f>Employees!D41</f>
        <v>0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32" cm="1">
        <f t="array" ref="CW37">SUMPRODUCT(IF(MOD(COLUMN(C37:CV37),2)=1,IF(ISNUMBER(C37:CV37),C37:CV37),0))</f>
        <v>0</v>
      </c>
      <c r="CX37" s="33" cm="1">
        <f t="array" ref="CX37">SUM(IF(MOD(COLUMN(C37:CV37),2)=0,C37:CV37,0))</f>
        <v>0</v>
      </c>
      <c r="CY37" s="34" cm="1">
        <f t="array" ref="CY37">SUMPRODUCT(IF(MOD(COLUMN(C37:CV37),2)=1,IF(C37:CV37="G",8),0))</f>
        <v>0</v>
      </c>
      <c r="CZ37" s="35" cm="1">
        <f t="array" ref="CZ37">SUMPRODUCT(IF(MOD(COLUMN(C37:CV37),2)=1,IF(C37:CV37="S",8),0))</f>
        <v>0</v>
      </c>
      <c r="DA37" s="36" cm="1">
        <f t="array" ref="DA37">SUMPRODUCT(IF(MOD(COLUMN(C37:CV37),2)=1,IF(C37:CV37="M",8),0))</f>
        <v>0</v>
      </c>
    </row>
    <row r="38" spans="1:105" x14ac:dyDescent="0.25">
      <c r="A38" s="40">
        <f>Employees!A42</f>
        <v>34</v>
      </c>
      <c r="B38" s="45">
        <f>Employees!D42</f>
        <v>0</v>
      </c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32" cm="1">
        <f t="array" ref="CW38">SUMPRODUCT(IF(MOD(COLUMN(C38:CV38),2)=1,IF(ISNUMBER(C38:CV38),C38:CV38),0))</f>
        <v>0</v>
      </c>
      <c r="CX38" s="33" cm="1">
        <f t="array" ref="CX38">SUM(IF(MOD(COLUMN(C38:CV38),2)=0,C38:CV38,0))</f>
        <v>0</v>
      </c>
      <c r="CY38" s="34" cm="1">
        <f t="array" ref="CY38">SUMPRODUCT(IF(MOD(COLUMN(C38:CV38),2)=1,IF(C38:CV38="G",8),0))</f>
        <v>0</v>
      </c>
      <c r="CZ38" s="35" cm="1">
        <f t="array" ref="CZ38">SUMPRODUCT(IF(MOD(COLUMN(C38:CV38),2)=1,IF(C38:CV38="S",8),0))</f>
        <v>0</v>
      </c>
      <c r="DA38" s="36" cm="1">
        <f t="array" ref="DA38">SUMPRODUCT(IF(MOD(COLUMN(C38:CV38),2)=1,IF(C38:CV38="M",8),0))</f>
        <v>0</v>
      </c>
    </row>
    <row r="39" spans="1:105" x14ac:dyDescent="0.25">
      <c r="A39" s="40">
        <f>Employees!A43</f>
        <v>35</v>
      </c>
      <c r="B39" s="45">
        <f>Employees!D43</f>
        <v>0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32" cm="1">
        <f t="array" ref="CW39">SUMPRODUCT(IF(MOD(COLUMN(C39:CV39),2)=1,IF(ISNUMBER(C39:CV39),C39:CV39),0))</f>
        <v>0</v>
      </c>
      <c r="CX39" s="33" cm="1">
        <f t="array" ref="CX39">SUM(IF(MOD(COLUMN(C39:CV39),2)=0,C39:CV39,0))</f>
        <v>0</v>
      </c>
      <c r="CY39" s="34" cm="1">
        <f t="array" ref="CY39">SUMPRODUCT(IF(MOD(COLUMN(C39:CV39),2)=1,IF(C39:CV39="G",8),0))</f>
        <v>0</v>
      </c>
      <c r="CZ39" s="35" cm="1">
        <f t="array" ref="CZ39">SUMPRODUCT(IF(MOD(COLUMN(C39:CV39),2)=1,IF(C39:CV39="S",8),0))</f>
        <v>0</v>
      </c>
      <c r="DA39" s="36" cm="1">
        <f t="array" ref="DA39">SUMPRODUCT(IF(MOD(COLUMN(C39:CV39),2)=1,IF(C39:CV39="M",8),0))</f>
        <v>0</v>
      </c>
    </row>
    <row r="40" spans="1:105" x14ac:dyDescent="0.25">
      <c r="A40" s="40">
        <f>Employees!A44</f>
        <v>36</v>
      </c>
      <c r="B40" s="45">
        <f>Employees!D44</f>
        <v>0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32" cm="1">
        <f t="array" ref="CW40">SUMPRODUCT(IF(MOD(COLUMN(C40:CV40),2)=1,IF(ISNUMBER(C40:CV40),C40:CV40),0))</f>
        <v>0</v>
      </c>
      <c r="CX40" s="33" cm="1">
        <f t="array" ref="CX40">SUM(IF(MOD(COLUMN(C40:CV40),2)=0,C40:CV40,0))</f>
        <v>0</v>
      </c>
      <c r="CY40" s="34" cm="1">
        <f t="array" ref="CY40">SUMPRODUCT(IF(MOD(COLUMN(C40:CV40),2)=1,IF(C40:CV40="G",8),0))</f>
        <v>0</v>
      </c>
      <c r="CZ40" s="35" cm="1">
        <f t="array" ref="CZ40">SUMPRODUCT(IF(MOD(COLUMN(C40:CV40),2)=1,IF(C40:CV40="S",8),0))</f>
        <v>0</v>
      </c>
      <c r="DA40" s="36" cm="1">
        <f t="array" ref="DA40">SUMPRODUCT(IF(MOD(COLUMN(C40:CV40),2)=1,IF(C40:CV40="M",8),0))</f>
        <v>0</v>
      </c>
    </row>
    <row r="41" spans="1:105" x14ac:dyDescent="0.25">
      <c r="A41" s="40">
        <f>Employees!A45</f>
        <v>37</v>
      </c>
      <c r="B41" s="45">
        <f>Employees!D45</f>
        <v>0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32" cm="1">
        <f t="array" ref="CW41">SUMPRODUCT(IF(MOD(COLUMN(C41:CV41),2)=1,IF(ISNUMBER(C41:CV41),C41:CV41),0))</f>
        <v>0</v>
      </c>
      <c r="CX41" s="33" cm="1">
        <f t="array" ref="CX41">SUM(IF(MOD(COLUMN(C41:CV41),2)=0,C41:CV41,0))</f>
        <v>0</v>
      </c>
      <c r="CY41" s="34" cm="1">
        <f t="array" ref="CY41">SUMPRODUCT(IF(MOD(COLUMN(C41:CV41),2)=1,IF(C41:CV41="G",8),0))</f>
        <v>0</v>
      </c>
      <c r="CZ41" s="35" cm="1">
        <f t="array" ref="CZ41">SUMPRODUCT(IF(MOD(COLUMN(C41:CV41),2)=1,IF(C41:CV41="S",8),0))</f>
        <v>0</v>
      </c>
      <c r="DA41" s="36" cm="1">
        <f t="array" ref="DA41">SUMPRODUCT(IF(MOD(COLUMN(C41:CV41),2)=1,IF(C41:CV41="M",8),0))</f>
        <v>0</v>
      </c>
    </row>
    <row r="42" spans="1:105" x14ac:dyDescent="0.25">
      <c r="A42" s="40">
        <f>Employees!A46</f>
        <v>38</v>
      </c>
      <c r="B42" s="45">
        <f>Employees!D46</f>
        <v>0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32" cm="1">
        <f t="array" ref="CW42">SUMPRODUCT(IF(MOD(COLUMN(C42:CV42),2)=1,IF(ISNUMBER(C42:CV42),C42:CV42),0))</f>
        <v>0</v>
      </c>
      <c r="CX42" s="33" cm="1">
        <f t="array" ref="CX42">SUM(IF(MOD(COLUMN(C42:CV42),2)=0,C42:CV42,0))</f>
        <v>0</v>
      </c>
      <c r="CY42" s="34" cm="1">
        <f t="array" ref="CY42">SUMPRODUCT(IF(MOD(COLUMN(C42:CV42),2)=1,IF(C42:CV42="G",8),0))</f>
        <v>0</v>
      </c>
      <c r="CZ42" s="35" cm="1">
        <f t="array" ref="CZ42">SUMPRODUCT(IF(MOD(COLUMN(C42:CV42),2)=1,IF(C42:CV42="S",8),0))</f>
        <v>0</v>
      </c>
      <c r="DA42" s="36" cm="1">
        <f t="array" ref="DA42">SUMPRODUCT(IF(MOD(COLUMN(C42:CV42),2)=1,IF(C42:CV42="M",8),0))</f>
        <v>0</v>
      </c>
    </row>
    <row r="43" spans="1:105" x14ac:dyDescent="0.25">
      <c r="A43" s="40">
        <f>Employees!A47</f>
        <v>39</v>
      </c>
      <c r="B43" s="45">
        <f>Employees!D47</f>
        <v>0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32" cm="1">
        <f t="array" ref="CW43">SUMPRODUCT(IF(MOD(COLUMN(C43:CV43),2)=1,IF(ISNUMBER(C43:CV43),C43:CV43),0))</f>
        <v>0</v>
      </c>
      <c r="CX43" s="33" cm="1">
        <f t="array" ref="CX43">SUM(IF(MOD(COLUMN(C43:CV43),2)=0,C43:CV43,0))</f>
        <v>0</v>
      </c>
      <c r="CY43" s="34" cm="1">
        <f t="array" ref="CY43">SUMPRODUCT(IF(MOD(COLUMN(C43:CV43),2)=1,IF(C43:CV43="G",8),0))</f>
        <v>0</v>
      </c>
      <c r="CZ43" s="35" cm="1">
        <f t="array" ref="CZ43">SUMPRODUCT(IF(MOD(COLUMN(C43:CV43),2)=1,IF(C43:CV43="S",8),0))</f>
        <v>0</v>
      </c>
      <c r="DA43" s="36" cm="1">
        <f t="array" ref="DA43">SUMPRODUCT(IF(MOD(COLUMN(C43:CV43),2)=1,IF(C43:CV43="M",8),0))</f>
        <v>0</v>
      </c>
    </row>
    <row r="44" spans="1:105" x14ac:dyDescent="0.25">
      <c r="A44" s="40">
        <f>Employees!A48</f>
        <v>40</v>
      </c>
      <c r="B44" s="45">
        <f>Employees!D48</f>
        <v>0</v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32" cm="1">
        <f t="array" ref="CW44">SUMPRODUCT(IF(MOD(COLUMN(C44:CV44),2)=1,IF(ISNUMBER(C44:CV44),C44:CV44),0))</f>
        <v>0</v>
      </c>
      <c r="CX44" s="33" cm="1">
        <f t="array" ref="CX44">SUM(IF(MOD(COLUMN(C44:CV44),2)=0,C44:CV44,0))</f>
        <v>0</v>
      </c>
      <c r="CY44" s="34" cm="1">
        <f t="array" ref="CY44">SUMPRODUCT(IF(MOD(COLUMN(C44:CV44),2)=1,IF(C44:CV44="G",8),0))</f>
        <v>0</v>
      </c>
      <c r="CZ44" s="35" cm="1">
        <f t="array" ref="CZ44">SUMPRODUCT(IF(MOD(COLUMN(C44:CV44),2)=1,IF(C44:CV44="S",8),0))</f>
        <v>0</v>
      </c>
      <c r="DA44" s="36" cm="1">
        <f t="array" ref="DA44">SUMPRODUCT(IF(MOD(COLUMN(C44:CV44),2)=1,IF(C44:CV44="M",8),0))</f>
        <v>0</v>
      </c>
    </row>
    <row r="45" spans="1:105" x14ac:dyDescent="0.25">
      <c r="A45" s="40">
        <f>Employees!A49</f>
        <v>41</v>
      </c>
      <c r="B45" s="45">
        <f>Employees!D49</f>
        <v>0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32" cm="1">
        <f t="array" ref="CW45">SUMPRODUCT(IF(MOD(COLUMN(C45:CV45),2)=1,IF(ISNUMBER(C45:CV45),C45:CV45),0))</f>
        <v>0</v>
      </c>
      <c r="CX45" s="33" cm="1">
        <f t="array" ref="CX45">SUM(IF(MOD(COLUMN(C45:CV45),2)=0,C45:CV45,0))</f>
        <v>0</v>
      </c>
      <c r="CY45" s="34" cm="1">
        <f t="array" ref="CY45">SUMPRODUCT(IF(MOD(COLUMN(C45:CV45),2)=1,IF(C45:CV45="G",8),0))</f>
        <v>0</v>
      </c>
      <c r="CZ45" s="35" cm="1">
        <f t="array" ref="CZ45">SUMPRODUCT(IF(MOD(COLUMN(C45:CV45),2)=1,IF(C45:CV45="S",8),0))</f>
        <v>0</v>
      </c>
      <c r="DA45" s="36" cm="1">
        <f t="array" ref="DA45">SUMPRODUCT(IF(MOD(COLUMN(C45:CV45),2)=1,IF(C45:CV45="M",8),0))</f>
        <v>0</v>
      </c>
    </row>
    <row r="46" spans="1:105" x14ac:dyDescent="0.25">
      <c r="A46" s="40">
        <f>Employees!A50</f>
        <v>42</v>
      </c>
      <c r="B46" s="45">
        <f>Employees!D50</f>
        <v>0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32" cm="1">
        <f t="array" ref="CW46">SUMPRODUCT(IF(MOD(COLUMN(C46:CV46),2)=1,IF(ISNUMBER(C46:CV46),C46:CV46),0))</f>
        <v>0</v>
      </c>
      <c r="CX46" s="33" cm="1">
        <f t="array" ref="CX46">SUM(IF(MOD(COLUMN(C46:CV46),2)=0,C46:CV46,0))</f>
        <v>0</v>
      </c>
      <c r="CY46" s="34" cm="1">
        <f t="array" ref="CY46">SUMPRODUCT(IF(MOD(COLUMN(C46:CV46),2)=1,IF(C46:CV46="G",8),0))</f>
        <v>0</v>
      </c>
      <c r="CZ46" s="35" cm="1">
        <f t="array" ref="CZ46">SUMPRODUCT(IF(MOD(COLUMN(C46:CV46),2)=1,IF(C46:CV46="S",8),0))</f>
        <v>0</v>
      </c>
      <c r="DA46" s="36" cm="1">
        <f t="array" ref="DA46">SUMPRODUCT(IF(MOD(COLUMN(C46:CV46),2)=1,IF(C46:CV46="M",8),0))</f>
        <v>0</v>
      </c>
    </row>
    <row r="47" spans="1:105" x14ac:dyDescent="0.25">
      <c r="A47" s="40">
        <f>Employees!A51</f>
        <v>43</v>
      </c>
      <c r="B47" s="45">
        <f>Employees!D51</f>
        <v>0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32" cm="1">
        <f t="array" ref="CW47">SUMPRODUCT(IF(MOD(COLUMN(C47:CV47),2)=1,IF(ISNUMBER(C47:CV47),C47:CV47),0))</f>
        <v>0</v>
      </c>
      <c r="CX47" s="33" cm="1">
        <f t="array" ref="CX47">SUM(IF(MOD(COLUMN(C47:CV47),2)=0,C47:CV47,0))</f>
        <v>0</v>
      </c>
      <c r="CY47" s="34" cm="1">
        <f t="array" ref="CY47">SUMPRODUCT(IF(MOD(COLUMN(C47:CV47),2)=1,IF(C47:CV47="G",8),0))</f>
        <v>0</v>
      </c>
      <c r="CZ47" s="35" cm="1">
        <f t="array" ref="CZ47">SUMPRODUCT(IF(MOD(COLUMN(C47:CV47),2)=1,IF(C47:CV47="S",8),0))</f>
        <v>0</v>
      </c>
      <c r="DA47" s="36" cm="1">
        <f t="array" ref="DA47">SUMPRODUCT(IF(MOD(COLUMN(C47:CV47),2)=1,IF(C47:CV47="M",8),0))</f>
        <v>0</v>
      </c>
    </row>
    <row r="48" spans="1:105" x14ac:dyDescent="0.25">
      <c r="A48" s="40">
        <f>Employees!A52</f>
        <v>44</v>
      </c>
      <c r="B48" s="45">
        <f>Employees!D52</f>
        <v>0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32" cm="1">
        <f t="array" ref="CW48">SUMPRODUCT(IF(MOD(COLUMN(C48:CV48),2)=1,IF(ISNUMBER(C48:CV48),C48:CV48),0))</f>
        <v>0</v>
      </c>
      <c r="CX48" s="33" cm="1">
        <f t="array" ref="CX48">SUM(IF(MOD(COLUMN(C48:CV48),2)=0,C48:CV48,0))</f>
        <v>0</v>
      </c>
      <c r="CY48" s="34" cm="1">
        <f t="array" ref="CY48">SUMPRODUCT(IF(MOD(COLUMN(C48:CV48),2)=1,IF(C48:CV48="G",8),0))</f>
        <v>0</v>
      </c>
      <c r="CZ48" s="35" cm="1">
        <f t="array" ref="CZ48">SUMPRODUCT(IF(MOD(COLUMN(C48:CV48),2)=1,IF(C48:CV48="S",8),0))</f>
        <v>0</v>
      </c>
      <c r="DA48" s="36" cm="1">
        <f t="array" ref="DA48">SUMPRODUCT(IF(MOD(COLUMN(C48:CV48),2)=1,IF(C48:CV48="M",8),0))</f>
        <v>0</v>
      </c>
    </row>
    <row r="49" spans="1:105" x14ac:dyDescent="0.25">
      <c r="A49" s="40">
        <f>Employees!A53</f>
        <v>45</v>
      </c>
      <c r="B49" s="45">
        <f>Employees!D53</f>
        <v>0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32" cm="1">
        <f t="array" ref="CW49">SUMPRODUCT(IF(MOD(COLUMN(C49:CV49),2)=1,IF(ISNUMBER(C49:CV49),C49:CV49),0))</f>
        <v>0</v>
      </c>
      <c r="CX49" s="33" cm="1">
        <f t="array" ref="CX49">SUM(IF(MOD(COLUMN(C49:CV49),2)=0,C49:CV49,0))</f>
        <v>0</v>
      </c>
      <c r="CY49" s="34" cm="1">
        <f t="array" ref="CY49">SUMPRODUCT(IF(MOD(COLUMN(C49:CV49),2)=1,IF(C49:CV49="G",8),0))</f>
        <v>0</v>
      </c>
      <c r="CZ49" s="35" cm="1">
        <f t="array" ref="CZ49">SUMPRODUCT(IF(MOD(COLUMN(C49:CV49),2)=1,IF(C49:CV49="S",8),0))</f>
        <v>0</v>
      </c>
      <c r="DA49" s="36" cm="1">
        <f t="array" ref="DA49">SUMPRODUCT(IF(MOD(COLUMN(C49:CV49),2)=1,IF(C49:CV49="M",8),0))</f>
        <v>0</v>
      </c>
    </row>
    <row r="50" spans="1:105" x14ac:dyDescent="0.25">
      <c r="A50" s="40">
        <f>Employees!A54</f>
        <v>46</v>
      </c>
      <c r="B50" s="45">
        <f>Employees!D54</f>
        <v>0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32" cm="1">
        <f t="array" ref="CW50">SUMPRODUCT(IF(MOD(COLUMN(C50:CV50),2)=1,IF(ISNUMBER(C50:CV50),C50:CV50),0))</f>
        <v>0</v>
      </c>
      <c r="CX50" s="33" cm="1">
        <f t="array" ref="CX50">SUM(IF(MOD(COLUMN(C50:CV50),2)=0,C50:CV50,0))</f>
        <v>0</v>
      </c>
      <c r="CY50" s="34" cm="1">
        <f t="array" ref="CY50">SUMPRODUCT(IF(MOD(COLUMN(C50:CV50),2)=1,IF(C50:CV50="G",8),0))</f>
        <v>0</v>
      </c>
      <c r="CZ50" s="35" cm="1">
        <f t="array" ref="CZ50">SUMPRODUCT(IF(MOD(COLUMN(C50:CV50),2)=1,IF(C50:CV50="S",8),0))</f>
        <v>0</v>
      </c>
      <c r="DA50" s="36" cm="1">
        <f t="array" ref="DA50">SUMPRODUCT(IF(MOD(COLUMN(C50:CV50),2)=1,IF(C50:CV50="M",8),0))</f>
        <v>0</v>
      </c>
    </row>
    <row r="51" spans="1:105" x14ac:dyDescent="0.25">
      <c r="A51" s="40">
        <f>Employees!A55</f>
        <v>47</v>
      </c>
      <c r="B51" s="45">
        <f>Employees!D55</f>
        <v>0</v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32" cm="1">
        <f t="array" ref="CW51">SUMPRODUCT(IF(MOD(COLUMN(C51:CV51),2)=1,IF(ISNUMBER(C51:CV51),C51:CV51),0))</f>
        <v>0</v>
      </c>
      <c r="CX51" s="33" cm="1">
        <f t="array" ref="CX51">SUM(IF(MOD(COLUMN(C51:CV51),2)=0,C51:CV51,0))</f>
        <v>0</v>
      </c>
      <c r="CY51" s="34" cm="1">
        <f t="array" ref="CY51">SUMPRODUCT(IF(MOD(COLUMN(C51:CV51),2)=1,IF(C51:CV51="G",8),0))</f>
        <v>0</v>
      </c>
      <c r="CZ51" s="35" cm="1">
        <f t="array" ref="CZ51">SUMPRODUCT(IF(MOD(COLUMN(C51:CV51),2)=1,IF(C51:CV51="S",8),0))</f>
        <v>0</v>
      </c>
      <c r="DA51" s="36" cm="1">
        <f t="array" ref="DA51">SUMPRODUCT(IF(MOD(COLUMN(C51:CV51),2)=1,IF(C51:CV51="M",8),0))</f>
        <v>0</v>
      </c>
    </row>
    <row r="52" spans="1:105" x14ac:dyDescent="0.25">
      <c r="A52" s="40">
        <f>Employees!A56</f>
        <v>48</v>
      </c>
      <c r="B52" s="45">
        <f>Employees!D56</f>
        <v>0</v>
      </c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32" cm="1">
        <f t="array" ref="CW52">SUMPRODUCT(IF(MOD(COLUMN(C52:CV52),2)=1,IF(ISNUMBER(C52:CV52),C52:CV52),0))</f>
        <v>0</v>
      </c>
      <c r="CX52" s="33" cm="1">
        <f t="array" ref="CX52">SUM(IF(MOD(COLUMN(C52:CV52),2)=0,C52:CV52,0))</f>
        <v>0</v>
      </c>
      <c r="CY52" s="34" cm="1">
        <f t="array" ref="CY52">SUMPRODUCT(IF(MOD(COLUMN(C52:CV52),2)=1,IF(C52:CV52="G",8),0))</f>
        <v>0</v>
      </c>
      <c r="CZ52" s="35" cm="1">
        <f t="array" ref="CZ52">SUMPRODUCT(IF(MOD(COLUMN(C52:CV52),2)=1,IF(C52:CV52="S",8),0))</f>
        <v>0</v>
      </c>
      <c r="DA52" s="36" cm="1">
        <f t="array" ref="DA52">SUMPRODUCT(IF(MOD(COLUMN(C52:CV52),2)=1,IF(C52:CV52="M",8),0))</f>
        <v>0</v>
      </c>
    </row>
    <row r="53" spans="1:105" x14ac:dyDescent="0.25">
      <c r="A53" s="40">
        <f>Employees!A57</f>
        <v>49</v>
      </c>
      <c r="B53" s="45">
        <f>Employees!D57</f>
        <v>0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32" cm="1">
        <f t="array" ref="CW53">SUMPRODUCT(IF(MOD(COLUMN(C53:CV53),2)=1,IF(ISNUMBER(C53:CV53),C53:CV53),0))</f>
        <v>0</v>
      </c>
      <c r="CX53" s="33" cm="1">
        <f t="array" ref="CX53">SUM(IF(MOD(COLUMN(C53:CV53),2)=0,C53:CV53,0))</f>
        <v>0</v>
      </c>
      <c r="CY53" s="34" cm="1">
        <f t="array" ref="CY53">SUMPRODUCT(IF(MOD(COLUMN(C53:CV53),2)=1,IF(C53:CV53="G",8),0))</f>
        <v>0</v>
      </c>
      <c r="CZ53" s="35" cm="1">
        <f t="array" ref="CZ53">SUMPRODUCT(IF(MOD(COLUMN(C53:CV53),2)=1,IF(C53:CV53="S",8),0))</f>
        <v>0</v>
      </c>
      <c r="DA53" s="36" cm="1">
        <f t="array" ref="DA53">SUMPRODUCT(IF(MOD(COLUMN(C53:CV53),2)=1,IF(C53:CV53="M",8),0))</f>
        <v>0</v>
      </c>
    </row>
    <row r="54" spans="1:105" x14ac:dyDescent="0.25">
      <c r="A54" s="40">
        <f>Employees!A58</f>
        <v>50</v>
      </c>
      <c r="B54" s="45">
        <f>Employees!D58</f>
        <v>0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32" cm="1">
        <f t="array" ref="CW54">SUMPRODUCT(IF(MOD(COLUMN(C54:CV54),2)=1,IF(ISNUMBER(C54:CV54),C54:CV54),0))</f>
        <v>0</v>
      </c>
      <c r="CX54" s="33" cm="1">
        <f t="array" ref="CX54">SUM(IF(MOD(COLUMN(C54:CV54),2)=0,C54:CV54,0))</f>
        <v>0</v>
      </c>
      <c r="CY54" s="34" cm="1">
        <f t="array" ref="CY54">SUMPRODUCT(IF(MOD(COLUMN(C54:CV54),2)=1,IF(C54:CV54="G",8),0))</f>
        <v>0</v>
      </c>
      <c r="CZ54" s="35" cm="1">
        <f t="array" ref="CZ54">SUMPRODUCT(IF(MOD(COLUMN(C54:CV54),2)=1,IF(C54:CV54="S",8),0))</f>
        <v>0</v>
      </c>
      <c r="DA54" s="36" cm="1">
        <f t="array" ref="DA54">SUMPRODUCT(IF(MOD(COLUMN(C54:CV54),2)=1,IF(C54:CV54="M",8),0))</f>
        <v>0</v>
      </c>
    </row>
  </sheetData>
  <mergeCells count="112">
    <mergeCell ref="DA1:DA4"/>
    <mergeCell ref="CZ1:CZ4"/>
    <mergeCell ref="CY1:CY4"/>
    <mergeCell ref="CX1:CX4"/>
    <mergeCell ref="CW1:CW4"/>
    <mergeCell ref="AS1:BF1"/>
    <mergeCell ref="BG1:BT1"/>
    <mergeCell ref="BU1:CH1"/>
    <mergeCell ref="BO2:BP2"/>
    <mergeCell ref="BQ2:BR2"/>
    <mergeCell ref="BS2:BT2"/>
    <mergeCell ref="BG3:BH3"/>
    <mergeCell ref="BI3:BJ3"/>
    <mergeCell ref="BK3:BL3"/>
    <mergeCell ref="BM3:BN3"/>
    <mergeCell ref="BO3:BP3"/>
    <mergeCell ref="CO2:CP2"/>
    <mergeCell ref="CQ2:CR2"/>
    <mergeCell ref="CS2:CT2"/>
    <mergeCell ref="CU2:CV2"/>
    <mergeCell ref="CK3:CL3"/>
    <mergeCell ref="CM3:CN3"/>
    <mergeCell ref="CO3:CP3"/>
    <mergeCell ref="CQ3:CR3"/>
    <mergeCell ref="BQ3:BR3"/>
    <mergeCell ref="BS3:BT3"/>
    <mergeCell ref="BU3:BV3"/>
    <mergeCell ref="BW3:BX3"/>
    <mergeCell ref="BY3:BZ3"/>
    <mergeCell ref="CA3:CB3"/>
    <mergeCell ref="CC3:CD3"/>
    <mergeCell ref="K3:L3"/>
    <mergeCell ref="CS3:CT3"/>
    <mergeCell ref="M3:N3"/>
    <mergeCell ref="O3:P3"/>
    <mergeCell ref="AC3:AD3"/>
    <mergeCell ref="DD1:DE2"/>
    <mergeCell ref="BU2:BV2"/>
    <mergeCell ref="BW2:BX2"/>
    <mergeCell ref="BY2:BZ2"/>
    <mergeCell ref="CA2:CB2"/>
    <mergeCell ref="CI3:CJ3"/>
    <mergeCell ref="Q3:R3"/>
    <mergeCell ref="S3:T3"/>
    <mergeCell ref="U3:V3"/>
    <mergeCell ref="W3:X3"/>
    <mergeCell ref="Y3:Z3"/>
    <mergeCell ref="CC2:CD2"/>
    <mergeCell ref="CE2:CF2"/>
    <mergeCell ref="CG2:CH2"/>
    <mergeCell ref="CE3:CF3"/>
    <mergeCell ref="CG3:CH3"/>
    <mergeCell ref="CI1:CV1"/>
    <mergeCell ref="CU3:CV3"/>
    <mergeCell ref="CI2:CJ2"/>
    <mergeCell ref="CK2:CL2"/>
    <mergeCell ref="CM2:CN2"/>
    <mergeCell ref="BG2:BH2"/>
    <mergeCell ref="BI2:BJ2"/>
    <mergeCell ref="BK2:BL2"/>
    <mergeCell ref="BM2:BN2"/>
    <mergeCell ref="BA2:BB2"/>
    <mergeCell ref="BC2:BD2"/>
    <mergeCell ref="BE2:BF2"/>
    <mergeCell ref="AS3:AT3"/>
    <mergeCell ref="AU3:AV3"/>
    <mergeCell ref="AW3:AX3"/>
    <mergeCell ref="AY3:AZ3"/>
    <mergeCell ref="BA3:BB3"/>
    <mergeCell ref="BC3:BD3"/>
    <mergeCell ref="BE3:BF3"/>
    <mergeCell ref="AS2:AT2"/>
    <mergeCell ref="AU2:AV2"/>
    <mergeCell ref="AW2:AX2"/>
    <mergeCell ref="AY2:AZ2"/>
    <mergeCell ref="AO2:AP2"/>
    <mergeCell ref="AQ2:AR2"/>
    <mergeCell ref="AE3:AF3"/>
    <mergeCell ref="AG3:AH3"/>
    <mergeCell ref="AI3:AJ3"/>
    <mergeCell ref="AK3:AL3"/>
    <mergeCell ref="AM3:AN3"/>
    <mergeCell ref="AO3:AP3"/>
    <mergeCell ref="AQ3:AR3"/>
    <mergeCell ref="AE2:AF2"/>
    <mergeCell ref="AG2:AH2"/>
    <mergeCell ref="AI2:AJ2"/>
    <mergeCell ref="AK2:AL2"/>
    <mergeCell ref="A1:B3"/>
    <mergeCell ref="AE1:AR1"/>
    <mergeCell ref="C3:D3"/>
    <mergeCell ref="E3:F3"/>
    <mergeCell ref="G3:H3"/>
    <mergeCell ref="I3:J3"/>
    <mergeCell ref="C1:P1"/>
    <mergeCell ref="Q1:AD1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AM2:AN2"/>
    <mergeCell ref="Y2:Z2"/>
    <mergeCell ref="AA2:AB2"/>
    <mergeCell ref="AC2:AD2"/>
    <mergeCell ref="AA3:AB3"/>
  </mergeCells>
  <phoneticPr fontId="6" type="noConversion"/>
  <dataValidations count="1">
    <dataValidation type="date" operator="greaterThan" allowBlank="1" showInputMessage="1" showErrorMessage="1" errorTitle="Invalid Date" error="Please enter a valid date" sqref="C3:CV3" xr:uid="{A681482B-F40B-49A5-8BF2-4512DFF850EF}">
      <formula1>29221</formula1>
    </dataValidation>
  </dataValidations>
  <pageMargins left="0.7" right="0.7" top="0.75" bottom="0.75" header="0.3" footer="0.3"/>
  <pageSetup orientation="portrait" r:id="rId1"/>
  <colBreaks count="5" manualBreakCount="5">
    <brk id="16" max="1048575" man="1"/>
    <brk id="30" max="1048575" man="1"/>
    <brk id="44" max="1048575" man="1"/>
    <brk id="58" max="1048575" man="1"/>
    <brk id="6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Employee_Hours_Sheet">
                <anchor moveWithCells="1" sizeWithCells="1">
                  <from>
                    <xdr:col>105</xdr:col>
                    <xdr:colOff>0</xdr:colOff>
                    <xdr:row>0</xdr:row>
                    <xdr:rowOff>0</xdr:rowOff>
                  </from>
                  <to>
                    <xdr:col>107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0EC6-E9E3-406B-A03D-7945F3F48560}">
  <sheetPr codeName="Sheet3"/>
  <dimension ref="A1:AF52"/>
  <sheetViews>
    <sheetView zoomScale="80" zoomScaleNormal="8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E2" sqref="E2"/>
    </sheetView>
  </sheetViews>
  <sheetFormatPr defaultColWidth="12" defaultRowHeight="15" x14ac:dyDescent="0.25"/>
  <cols>
    <col min="1" max="1" width="3.85546875" style="3" bestFit="1" customWidth="1"/>
    <col min="2" max="2" width="10.85546875" style="7" bestFit="1" customWidth="1"/>
    <col min="3" max="3" width="12.85546875" style="3" bestFit="1" customWidth="1"/>
    <col min="4" max="4" width="9.140625" style="3" bestFit="1" customWidth="1"/>
    <col min="5" max="5" width="8.140625" style="3" bestFit="1" customWidth="1"/>
    <col min="6" max="7" width="8.5703125" style="3" bestFit="1" customWidth="1"/>
    <col min="8" max="9" width="8.7109375" style="3" bestFit="1" customWidth="1"/>
    <col min="10" max="11" width="8.140625" style="3" bestFit="1" customWidth="1"/>
    <col min="12" max="13" width="8.85546875" style="3" bestFit="1" customWidth="1"/>
    <col min="14" max="15" width="8.140625" style="3" bestFit="1" customWidth="1"/>
    <col min="16" max="17" width="7.7109375" style="3" bestFit="1" customWidth="1"/>
    <col min="18" max="21" width="8.5703125" style="3" bestFit="1" customWidth="1"/>
    <col min="22" max="23" width="8" style="3" bestFit="1" customWidth="1"/>
    <col min="24" max="27" width="8.5703125" style="3" bestFit="1" customWidth="1"/>
    <col min="28" max="28" width="9.140625" style="3" bestFit="1" customWidth="1"/>
    <col min="29" max="16384" width="12" style="3"/>
  </cols>
  <sheetData>
    <row r="1" spans="1:32" s="8" customFormat="1" ht="15" customHeight="1" x14ac:dyDescent="0.25">
      <c r="A1" s="61"/>
      <c r="B1" s="61"/>
      <c r="C1" s="61"/>
      <c r="D1" s="61" t="s">
        <v>18</v>
      </c>
      <c r="E1" s="61"/>
      <c r="F1" s="61" t="s">
        <v>16</v>
      </c>
      <c r="G1" s="61"/>
      <c r="H1" s="61" t="s">
        <v>12</v>
      </c>
      <c r="I1" s="61"/>
      <c r="J1" s="61" t="s">
        <v>10</v>
      </c>
      <c r="K1" s="61"/>
      <c r="L1" s="61" t="s">
        <v>14</v>
      </c>
      <c r="M1" s="61"/>
      <c r="N1" s="61" t="s">
        <v>11</v>
      </c>
      <c r="O1" s="61"/>
      <c r="P1" s="61" t="s">
        <v>19</v>
      </c>
      <c r="Q1" s="61"/>
      <c r="R1" s="61" t="s">
        <v>9</v>
      </c>
      <c r="S1" s="61"/>
      <c r="T1" s="61" t="s">
        <v>15</v>
      </c>
      <c r="U1" s="61"/>
      <c r="V1" s="61" t="s">
        <v>17</v>
      </c>
      <c r="W1" s="61"/>
      <c r="X1" s="61" t="s">
        <v>20</v>
      </c>
      <c r="Y1" s="61"/>
      <c r="Z1" s="61" t="s">
        <v>13</v>
      </c>
      <c r="AA1" s="68"/>
      <c r="AB1" s="61" t="s">
        <v>21</v>
      </c>
      <c r="AE1" s="64" t="s">
        <v>27</v>
      </c>
      <c r="AF1" s="64"/>
    </row>
    <row r="2" spans="1:32" x14ac:dyDescent="0.25">
      <c r="A2" s="42" t="s">
        <v>8</v>
      </c>
      <c r="B2" s="41" t="s">
        <v>50</v>
      </c>
      <c r="C2" s="42" t="s">
        <v>74</v>
      </c>
      <c r="D2" s="42" t="s">
        <v>91</v>
      </c>
      <c r="E2" s="42" t="s">
        <v>92</v>
      </c>
      <c r="F2" s="42" t="s">
        <v>91</v>
      </c>
      <c r="G2" s="42" t="s">
        <v>92</v>
      </c>
      <c r="H2" s="39" t="s">
        <v>91</v>
      </c>
      <c r="I2" s="39" t="s">
        <v>92</v>
      </c>
      <c r="J2" s="39" t="s">
        <v>91</v>
      </c>
      <c r="K2" s="39" t="s">
        <v>92</v>
      </c>
      <c r="L2" s="39" t="s">
        <v>91</v>
      </c>
      <c r="M2" s="39" t="s">
        <v>92</v>
      </c>
      <c r="N2" s="39" t="s">
        <v>91</v>
      </c>
      <c r="O2" s="39" t="s">
        <v>92</v>
      </c>
      <c r="P2" s="39" t="s">
        <v>91</v>
      </c>
      <c r="Q2" s="39" t="s">
        <v>92</v>
      </c>
      <c r="R2" s="39" t="s">
        <v>91</v>
      </c>
      <c r="S2" s="39" t="s">
        <v>92</v>
      </c>
      <c r="T2" s="39" t="s">
        <v>91</v>
      </c>
      <c r="U2" s="39" t="s">
        <v>92</v>
      </c>
      <c r="V2" s="39" t="s">
        <v>91</v>
      </c>
      <c r="W2" s="39" t="s">
        <v>92</v>
      </c>
      <c r="X2" s="39" t="s">
        <v>91</v>
      </c>
      <c r="Y2" s="39" t="s">
        <v>92</v>
      </c>
      <c r="Z2" s="39" t="s">
        <v>91</v>
      </c>
      <c r="AA2" s="39" t="s">
        <v>92</v>
      </c>
      <c r="AB2" s="61"/>
      <c r="AE2" s="64"/>
      <c r="AF2" s="64"/>
    </row>
    <row r="3" spans="1:32" x14ac:dyDescent="0.25">
      <c r="A3" s="46">
        <f>Employees!A9</f>
        <v>1</v>
      </c>
      <c r="B3" s="46" t="str">
        <f>Employees!D9</f>
        <v>Dian1</v>
      </c>
      <c r="C3" s="11"/>
      <c r="D3" s="11">
        <v>-500</v>
      </c>
      <c r="E3" s="11">
        <v>500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21">
        <f>SUM(C3:AA3)</f>
        <v>0</v>
      </c>
    </row>
    <row r="4" spans="1:32" x14ac:dyDescent="0.25">
      <c r="A4" s="46">
        <f>Employees!A10</f>
        <v>2</v>
      </c>
      <c r="B4" s="46" t="str">
        <f>Employees!D10</f>
        <v>Dian2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21">
        <f t="shared" ref="AB4:AB34" si="0">SUM(C4:AA4)</f>
        <v>0</v>
      </c>
    </row>
    <row r="5" spans="1:32" x14ac:dyDescent="0.25">
      <c r="A5" s="46">
        <f>Employees!A11</f>
        <v>3</v>
      </c>
      <c r="B5" s="46" t="str">
        <f>Employees!D11</f>
        <v>Dian3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21">
        <f t="shared" si="0"/>
        <v>0</v>
      </c>
    </row>
    <row r="6" spans="1:32" x14ac:dyDescent="0.25">
      <c r="A6" s="46">
        <f>Employees!A12</f>
        <v>4</v>
      </c>
      <c r="B6" s="46">
        <f>Employees!D12</f>
        <v>0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21">
        <f t="shared" si="0"/>
        <v>0</v>
      </c>
    </row>
    <row r="7" spans="1:32" x14ac:dyDescent="0.25">
      <c r="A7" s="46">
        <f>Employees!A13</f>
        <v>5</v>
      </c>
      <c r="B7" s="46">
        <f>Employees!D13</f>
        <v>0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21">
        <f t="shared" si="0"/>
        <v>0</v>
      </c>
    </row>
    <row r="8" spans="1:32" x14ac:dyDescent="0.25">
      <c r="A8" s="46">
        <f>Employees!A14</f>
        <v>6</v>
      </c>
      <c r="B8" s="46">
        <f>Employees!D14</f>
        <v>0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21">
        <f t="shared" si="0"/>
        <v>0</v>
      </c>
    </row>
    <row r="9" spans="1:32" x14ac:dyDescent="0.25">
      <c r="A9" s="46">
        <f>Employees!A15</f>
        <v>7</v>
      </c>
      <c r="B9" s="46">
        <f>Employees!D15</f>
        <v>0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21">
        <f t="shared" si="0"/>
        <v>0</v>
      </c>
    </row>
    <row r="10" spans="1:32" x14ac:dyDescent="0.25">
      <c r="A10" s="46">
        <f>Employees!A16</f>
        <v>8</v>
      </c>
      <c r="B10" s="46">
        <f>Employees!D16</f>
        <v>0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21">
        <f t="shared" si="0"/>
        <v>0</v>
      </c>
    </row>
    <row r="11" spans="1:32" x14ac:dyDescent="0.25">
      <c r="A11" s="46">
        <f>Employees!A17</f>
        <v>9</v>
      </c>
      <c r="B11" s="46">
        <f>Employees!D17</f>
        <v>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21">
        <f t="shared" si="0"/>
        <v>0</v>
      </c>
    </row>
    <row r="12" spans="1:32" x14ac:dyDescent="0.25">
      <c r="A12" s="46">
        <f>Employees!A18</f>
        <v>10</v>
      </c>
      <c r="B12" s="46">
        <f>Employees!D18</f>
        <v>0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21">
        <f t="shared" si="0"/>
        <v>0</v>
      </c>
    </row>
    <row r="13" spans="1:32" x14ac:dyDescent="0.25">
      <c r="A13" s="46">
        <f>Employees!A19</f>
        <v>11</v>
      </c>
      <c r="B13" s="46">
        <f>Employees!D19</f>
        <v>0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21">
        <f t="shared" si="0"/>
        <v>0</v>
      </c>
    </row>
    <row r="14" spans="1:32" x14ac:dyDescent="0.25">
      <c r="A14" s="46">
        <f>Employees!A20</f>
        <v>12</v>
      </c>
      <c r="B14" s="46">
        <f>Employees!D20</f>
        <v>0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21">
        <f t="shared" si="0"/>
        <v>0</v>
      </c>
    </row>
    <row r="15" spans="1:32" x14ac:dyDescent="0.25">
      <c r="A15" s="46">
        <f>Employees!A21</f>
        <v>13</v>
      </c>
      <c r="B15" s="46">
        <f>Employees!D21</f>
        <v>0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21">
        <f t="shared" si="0"/>
        <v>0</v>
      </c>
    </row>
    <row r="16" spans="1:32" x14ac:dyDescent="0.25">
      <c r="A16" s="46">
        <f>Employees!A22</f>
        <v>14</v>
      </c>
      <c r="B16" s="46">
        <f>Employees!D22</f>
        <v>0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21">
        <f t="shared" si="0"/>
        <v>0</v>
      </c>
    </row>
    <row r="17" spans="1:28" x14ac:dyDescent="0.25">
      <c r="A17" s="46">
        <f>Employees!A23</f>
        <v>15</v>
      </c>
      <c r="B17" s="46">
        <f>Employees!D23</f>
        <v>0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21">
        <f t="shared" si="0"/>
        <v>0</v>
      </c>
    </row>
    <row r="18" spans="1:28" x14ac:dyDescent="0.25">
      <c r="A18" s="46">
        <f>Employees!A24</f>
        <v>16</v>
      </c>
      <c r="B18" s="46">
        <f>Employees!D24</f>
        <v>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21">
        <f t="shared" si="0"/>
        <v>0</v>
      </c>
    </row>
    <row r="19" spans="1:28" x14ac:dyDescent="0.25">
      <c r="A19" s="46">
        <f>Employees!A25</f>
        <v>17</v>
      </c>
      <c r="B19" s="46">
        <f>Employees!D25</f>
        <v>0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21">
        <f t="shared" si="0"/>
        <v>0</v>
      </c>
    </row>
    <row r="20" spans="1:28" x14ac:dyDescent="0.25">
      <c r="A20" s="46">
        <f>Employees!A26</f>
        <v>18</v>
      </c>
      <c r="B20" s="46">
        <f>Employees!D26</f>
        <v>0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21">
        <f t="shared" si="0"/>
        <v>0</v>
      </c>
    </row>
    <row r="21" spans="1:28" x14ac:dyDescent="0.25">
      <c r="A21" s="46">
        <f>Employees!A27</f>
        <v>19</v>
      </c>
      <c r="B21" s="46">
        <f>Employees!D27</f>
        <v>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21">
        <f t="shared" si="0"/>
        <v>0</v>
      </c>
    </row>
    <row r="22" spans="1:28" x14ac:dyDescent="0.25">
      <c r="A22" s="46">
        <f>Employees!A28</f>
        <v>20</v>
      </c>
      <c r="B22" s="46">
        <f>Employees!D28</f>
        <v>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21">
        <f t="shared" si="0"/>
        <v>0</v>
      </c>
    </row>
    <row r="23" spans="1:28" x14ac:dyDescent="0.25">
      <c r="A23" s="46">
        <f>Employees!A29</f>
        <v>21</v>
      </c>
      <c r="B23" s="46">
        <f>Employees!D29</f>
        <v>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21">
        <f t="shared" si="0"/>
        <v>0</v>
      </c>
    </row>
    <row r="24" spans="1:28" x14ac:dyDescent="0.25">
      <c r="A24" s="46">
        <f>Employees!A30</f>
        <v>22</v>
      </c>
      <c r="B24" s="46">
        <f>Employees!D30</f>
        <v>0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21">
        <f t="shared" si="0"/>
        <v>0</v>
      </c>
    </row>
    <row r="25" spans="1:28" x14ac:dyDescent="0.25">
      <c r="A25" s="46">
        <f>Employees!A31</f>
        <v>23</v>
      </c>
      <c r="B25" s="46">
        <f>Employees!D31</f>
        <v>0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21">
        <f t="shared" si="0"/>
        <v>0</v>
      </c>
    </row>
    <row r="26" spans="1:28" x14ac:dyDescent="0.25">
      <c r="A26" s="46">
        <f>Employees!A32</f>
        <v>24</v>
      </c>
      <c r="B26" s="46">
        <f>Employees!D32</f>
        <v>0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21">
        <f t="shared" si="0"/>
        <v>0</v>
      </c>
    </row>
    <row r="27" spans="1:28" x14ac:dyDescent="0.25">
      <c r="A27" s="46">
        <f>Employees!A33</f>
        <v>25</v>
      </c>
      <c r="B27" s="46">
        <f>Employees!D33</f>
        <v>0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21">
        <f t="shared" si="0"/>
        <v>0</v>
      </c>
    </row>
    <row r="28" spans="1:28" x14ac:dyDescent="0.25">
      <c r="A28" s="46">
        <f>Employees!A34</f>
        <v>26</v>
      </c>
      <c r="B28" s="46">
        <f>Employees!D34</f>
        <v>0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21">
        <f t="shared" si="0"/>
        <v>0</v>
      </c>
    </row>
    <row r="29" spans="1:28" x14ac:dyDescent="0.25">
      <c r="A29" s="46">
        <f>Employees!A35</f>
        <v>27</v>
      </c>
      <c r="B29" s="46">
        <f>Employees!D35</f>
        <v>0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21">
        <f t="shared" si="0"/>
        <v>0</v>
      </c>
    </row>
    <row r="30" spans="1:28" x14ac:dyDescent="0.25">
      <c r="A30" s="46">
        <f>Employees!A36</f>
        <v>28</v>
      </c>
      <c r="B30" s="46">
        <f>Employees!D36</f>
        <v>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21">
        <f t="shared" si="0"/>
        <v>0</v>
      </c>
    </row>
    <row r="31" spans="1:28" x14ac:dyDescent="0.25">
      <c r="A31" s="46">
        <f>Employees!A37</f>
        <v>29</v>
      </c>
      <c r="B31" s="46">
        <f>Employees!D37</f>
        <v>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21">
        <f t="shared" si="0"/>
        <v>0</v>
      </c>
    </row>
    <row r="32" spans="1:28" x14ac:dyDescent="0.25">
      <c r="A32" s="46">
        <f>Employees!A38</f>
        <v>30</v>
      </c>
      <c r="B32" s="46">
        <f>Employees!D38</f>
        <v>0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21">
        <f t="shared" si="0"/>
        <v>0</v>
      </c>
    </row>
    <row r="33" spans="1:28" x14ac:dyDescent="0.25">
      <c r="A33" s="46">
        <f>Employees!A39</f>
        <v>31</v>
      </c>
      <c r="B33" s="46">
        <f>Employees!D39</f>
        <v>0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21">
        <f t="shared" si="0"/>
        <v>0</v>
      </c>
    </row>
    <row r="34" spans="1:28" x14ac:dyDescent="0.25">
      <c r="A34" s="46">
        <f>Employees!A40</f>
        <v>32</v>
      </c>
      <c r="B34" s="46">
        <f>Employees!D40</f>
        <v>0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21">
        <f t="shared" si="0"/>
        <v>0</v>
      </c>
    </row>
    <row r="35" spans="1:28" x14ac:dyDescent="0.25">
      <c r="A35" s="46">
        <f>Employees!A41</f>
        <v>33</v>
      </c>
      <c r="B35" s="46">
        <f>Employees!D41</f>
        <v>0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21">
        <f t="shared" ref="AB35:AB52" si="1">SUM(C35:AA35)</f>
        <v>0</v>
      </c>
    </row>
    <row r="36" spans="1:28" x14ac:dyDescent="0.25">
      <c r="A36" s="46">
        <f>Employees!A42</f>
        <v>34</v>
      </c>
      <c r="B36" s="46">
        <f>Employees!D42</f>
        <v>0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21">
        <f t="shared" si="1"/>
        <v>0</v>
      </c>
    </row>
    <row r="37" spans="1:28" x14ac:dyDescent="0.25">
      <c r="A37" s="46">
        <f>Employees!A43</f>
        <v>35</v>
      </c>
      <c r="B37" s="46">
        <f>Employees!D43</f>
        <v>0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21">
        <f t="shared" si="1"/>
        <v>0</v>
      </c>
    </row>
    <row r="38" spans="1:28" x14ac:dyDescent="0.25">
      <c r="A38" s="46">
        <f>Employees!A44</f>
        <v>36</v>
      </c>
      <c r="B38" s="46">
        <f>Employees!D44</f>
        <v>0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21">
        <f t="shared" si="1"/>
        <v>0</v>
      </c>
    </row>
    <row r="39" spans="1:28" x14ac:dyDescent="0.25">
      <c r="A39" s="46">
        <f>Employees!A45</f>
        <v>37</v>
      </c>
      <c r="B39" s="46">
        <f>Employees!D45</f>
        <v>0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21">
        <f t="shared" si="1"/>
        <v>0</v>
      </c>
    </row>
    <row r="40" spans="1:28" x14ac:dyDescent="0.25">
      <c r="A40" s="46">
        <f>Employees!A46</f>
        <v>38</v>
      </c>
      <c r="B40" s="46">
        <f>Employees!D46</f>
        <v>0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21">
        <f t="shared" si="1"/>
        <v>0</v>
      </c>
    </row>
    <row r="41" spans="1:28" x14ac:dyDescent="0.25">
      <c r="A41" s="46">
        <f>Employees!A47</f>
        <v>39</v>
      </c>
      <c r="B41" s="46">
        <f>Employees!D47</f>
        <v>0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21">
        <f t="shared" si="1"/>
        <v>0</v>
      </c>
    </row>
    <row r="42" spans="1:28" x14ac:dyDescent="0.25">
      <c r="A42" s="46">
        <f>Employees!A48</f>
        <v>40</v>
      </c>
      <c r="B42" s="46">
        <f>Employees!D48</f>
        <v>0</v>
      </c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21">
        <f t="shared" si="1"/>
        <v>0</v>
      </c>
    </row>
    <row r="43" spans="1:28" x14ac:dyDescent="0.25">
      <c r="A43" s="46">
        <f>Employees!A49</f>
        <v>41</v>
      </c>
      <c r="B43" s="46">
        <f>Employees!D49</f>
        <v>0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21">
        <f t="shared" si="1"/>
        <v>0</v>
      </c>
    </row>
    <row r="44" spans="1:28" x14ac:dyDescent="0.25">
      <c r="A44" s="46">
        <f>Employees!A50</f>
        <v>42</v>
      </c>
      <c r="B44" s="46">
        <f>Employees!D50</f>
        <v>0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21">
        <f t="shared" si="1"/>
        <v>0</v>
      </c>
    </row>
    <row r="45" spans="1:28" x14ac:dyDescent="0.25">
      <c r="A45" s="46">
        <f>Employees!A51</f>
        <v>43</v>
      </c>
      <c r="B45" s="46">
        <f>Employees!D51</f>
        <v>0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21">
        <f t="shared" si="1"/>
        <v>0</v>
      </c>
    </row>
    <row r="46" spans="1:28" x14ac:dyDescent="0.25">
      <c r="A46" s="46">
        <f>Employees!A52</f>
        <v>44</v>
      </c>
      <c r="B46" s="46">
        <f>Employees!D52</f>
        <v>0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21">
        <f t="shared" si="1"/>
        <v>0</v>
      </c>
    </row>
    <row r="47" spans="1:28" x14ac:dyDescent="0.25">
      <c r="A47" s="46">
        <f>Employees!A53</f>
        <v>45</v>
      </c>
      <c r="B47" s="46">
        <f>Employees!D53</f>
        <v>0</v>
      </c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21">
        <f t="shared" si="1"/>
        <v>0</v>
      </c>
    </row>
    <row r="48" spans="1:28" x14ac:dyDescent="0.25">
      <c r="A48" s="46">
        <f>Employees!A54</f>
        <v>46</v>
      </c>
      <c r="B48" s="46">
        <f>Employees!D54</f>
        <v>0</v>
      </c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21">
        <f t="shared" si="1"/>
        <v>0</v>
      </c>
    </row>
    <row r="49" spans="1:28" x14ac:dyDescent="0.25">
      <c r="A49" s="46">
        <f>Employees!A55</f>
        <v>47</v>
      </c>
      <c r="B49" s="46">
        <f>Employees!D55</f>
        <v>0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21">
        <f t="shared" si="1"/>
        <v>0</v>
      </c>
    </row>
    <row r="50" spans="1:28" x14ac:dyDescent="0.25">
      <c r="A50" s="46">
        <f>Employees!A56</f>
        <v>48</v>
      </c>
      <c r="B50" s="46">
        <f>Employees!D56</f>
        <v>0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21">
        <f t="shared" si="1"/>
        <v>0</v>
      </c>
    </row>
    <row r="51" spans="1:28" x14ac:dyDescent="0.25">
      <c r="A51" s="46">
        <f>Employees!A57</f>
        <v>49</v>
      </c>
      <c r="B51" s="46">
        <f>Employees!D57</f>
        <v>0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21">
        <f t="shared" si="1"/>
        <v>0</v>
      </c>
    </row>
    <row r="52" spans="1:28" x14ac:dyDescent="0.25">
      <c r="A52" s="46">
        <f>Employees!A58</f>
        <v>50</v>
      </c>
      <c r="B52" s="46">
        <f>Employees!D58</f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21">
        <f t="shared" si="1"/>
        <v>0</v>
      </c>
    </row>
  </sheetData>
  <mergeCells count="15">
    <mergeCell ref="A1:C1"/>
    <mergeCell ref="AE1:AF2"/>
    <mergeCell ref="H1:I1"/>
    <mergeCell ref="J1:K1"/>
    <mergeCell ref="D1:E1"/>
    <mergeCell ref="F1:G1"/>
    <mergeCell ref="X1:Y1"/>
    <mergeCell ref="Z1:AA1"/>
    <mergeCell ref="L1:M1"/>
    <mergeCell ref="N1:O1"/>
    <mergeCell ref="P1:Q1"/>
    <mergeCell ref="R1:S1"/>
    <mergeCell ref="T1:U1"/>
    <mergeCell ref="V1:W1"/>
    <mergeCell ref="AB1:AB2"/>
  </mergeCells>
  <phoneticPr fontId="6" type="noConversion"/>
  <conditionalFormatting sqref="C3:AA52">
    <cfRule type="cellIs" dxfId="57" priority="4" operator="lessThan">
      <formula>0</formula>
    </cfRule>
    <cfRule type="cellIs" dxfId="56" priority="5" operator="greaterThan">
      <formula>0</formula>
    </cfRule>
  </conditionalFormatting>
  <conditionalFormatting sqref="AB3:AB52">
    <cfRule type="cellIs" dxfId="55" priority="1" operator="lessThan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_Employee_Debt_Sheet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B5E6-DB74-4546-92ED-A115CB7367E9}">
  <sheetPr codeName="Sheet4"/>
  <dimension ref="A1:J303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9" sqref="F29"/>
    </sheetView>
  </sheetViews>
  <sheetFormatPr defaultColWidth="18.28515625" defaultRowHeight="15" x14ac:dyDescent="0.25"/>
  <cols>
    <col min="1" max="1" width="6.42578125" style="4" customWidth="1"/>
    <col min="2" max="4" width="18.7109375" style="4" customWidth="1"/>
    <col min="5" max="5" width="20.7109375" style="4" customWidth="1"/>
    <col min="6" max="7" width="18.28515625" style="4"/>
    <col min="8" max="8" width="6.28515625" style="4" customWidth="1"/>
    <col min="9" max="9" width="19.140625" style="4" bestFit="1" customWidth="1"/>
    <col min="10" max="10" width="31.28515625" style="4" customWidth="1"/>
    <col min="11" max="11" width="23.28515625" style="4" bestFit="1" customWidth="1"/>
    <col min="12" max="16384" width="18.28515625" style="4"/>
  </cols>
  <sheetData>
    <row r="1" spans="1:10" ht="21" customHeight="1" x14ac:dyDescent="0.25">
      <c r="A1" s="69" t="s">
        <v>24</v>
      </c>
      <c r="B1" s="69"/>
      <c r="C1" s="69"/>
      <c r="D1" s="69"/>
      <c r="E1" s="69"/>
      <c r="J1" s="31" t="s">
        <v>27</v>
      </c>
    </row>
    <row r="2" spans="1:10" ht="21" customHeight="1" x14ac:dyDescent="0.25">
      <c r="A2" s="69" t="s">
        <v>85</v>
      </c>
      <c r="B2" s="69"/>
      <c r="C2" s="69"/>
      <c r="D2" s="69"/>
      <c r="E2" s="69"/>
      <c r="I2" s="13" t="s">
        <v>28</v>
      </c>
    </row>
    <row r="3" spans="1:10" ht="21" customHeight="1" x14ac:dyDescent="0.25">
      <c r="A3" s="13" t="s">
        <v>8</v>
      </c>
      <c r="B3" s="13" t="s">
        <v>51</v>
      </c>
      <c r="C3" s="13" t="s">
        <v>52</v>
      </c>
      <c r="D3" s="13" t="s">
        <v>54</v>
      </c>
      <c r="E3" s="13" t="s">
        <v>37</v>
      </c>
      <c r="F3" s="13" t="s">
        <v>75</v>
      </c>
      <c r="G3" s="23">
        <f>COUNTA(B:B)-1</f>
        <v>1</v>
      </c>
      <c r="I3" s="13" t="s">
        <v>29</v>
      </c>
    </row>
    <row r="4" spans="1:10" ht="15" customHeight="1" x14ac:dyDescent="0.25">
      <c r="A4" s="40">
        <v>1</v>
      </c>
      <c r="B4" s="4" t="s">
        <v>101</v>
      </c>
      <c r="C4" s="4" t="s">
        <v>102</v>
      </c>
      <c r="D4" s="4">
        <v>27661790961</v>
      </c>
      <c r="E4" s="4">
        <v>1001</v>
      </c>
    </row>
    <row r="5" spans="1:10" ht="15" customHeight="1" x14ac:dyDescent="0.25">
      <c r="A5" s="40">
        <v>2</v>
      </c>
      <c r="E5" s="4">
        <v>1008</v>
      </c>
    </row>
    <row r="6" spans="1:10" ht="15" customHeight="1" x14ac:dyDescent="0.25">
      <c r="A6" s="40">
        <v>3</v>
      </c>
      <c r="E6" s="4">
        <v>1015</v>
      </c>
    </row>
    <row r="7" spans="1:10" ht="15" customHeight="1" x14ac:dyDescent="0.25">
      <c r="A7" s="40">
        <v>4</v>
      </c>
      <c r="E7" s="4">
        <v>1022</v>
      </c>
    </row>
    <row r="8" spans="1:10" ht="15" customHeight="1" x14ac:dyDescent="0.25">
      <c r="A8" s="40">
        <v>5</v>
      </c>
      <c r="E8" s="4">
        <v>1029</v>
      </c>
    </row>
    <row r="9" spans="1:10" ht="15" customHeight="1" x14ac:dyDescent="0.25">
      <c r="A9" s="40">
        <v>6</v>
      </c>
      <c r="E9" s="4">
        <v>1036</v>
      </c>
    </row>
    <row r="10" spans="1:10" ht="15" customHeight="1" x14ac:dyDescent="0.25">
      <c r="A10" s="40">
        <v>7</v>
      </c>
      <c r="E10" s="4">
        <v>1043</v>
      </c>
    </row>
    <row r="11" spans="1:10" ht="15" customHeight="1" x14ac:dyDescent="0.25">
      <c r="A11" s="40">
        <v>8</v>
      </c>
      <c r="E11" s="4">
        <v>1050</v>
      </c>
    </row>
    <row r="12" spans="1:10" ht="15" customHeight="1" x14ac:dyDescent="0.25">
      <c r="A12" s="40">
        <v>9</v>
      </c>
      <c r="E12" s="4">
        <v>1057</v>
      </c>
    </row>
    <row r="13" spans="1:10" ht="15" customHeight="1" x14ac:dyDescent="0.25">
      <c r="A13" s="40">
        <v>10</v>
      </c>
      <c r="E13" s="4">
        <v>1064</v>
      </c>
    </row>
    <row r="14" spans="1:10" ht="15" customHeight="1" x14ac:dyDescent="0.25">
      <c r="A14" s="40">
        <v>11</v>
      </c>
      <c r="E14" s="4">
        <v>1071</v>
      </c>
    </row>
    <row r="15" spans="1:10" ht="15" customHeight="1" x14ac:dyDescent="0.25">
      <c r="A15" s="40">
        <v>12</v>
      </c>
      <c r="E15" s="4">
        <v>1078</v>
      </c>
    </row>
    <row r="16" spans="1:10" ht="15" customHeight="1" x14ac:dyDescent="0.25">
      <c r="A16" s="40">
        <v>13</v>
      </c>
      <c r="E16" s="4">
        <v>1085</v>
      </c>
    </row>
    <row r="17" spans="1:5" ht="15" customHeight="1" x14ac:dyDescent="0.25">
      <c r="A17" s="40">
        <v>14</v>
      </c>
      <c r="E17" s="4">
        <v>1092</v>
      </c>
    </row>
    <row r="18" spans="1:5" ht="15" customHeight="1" x14ac:dyDescent="0.25">
      <c r="A18" s="40">
        <v>15</v>
      </c>
      <c r="E18" s="4">
        <v>1099</v>
      </c>
    </row>
    <row r="19" spans="1:5" ht="15" customHeight="1" x14ac:dyDescent="0.25">
      <c r="A19" s="40">
        <v>16</v>
      </c>
      <c r="E19" s="4">
        <v>1106</v>
      </c>
    </row>
    <row r="20" spans="1:5" ht="15" customHeight="1" x14ac:dyDescent="0.25">
      <c r="A20" s="40">
        <v>17</v>
      </c>
      <c r="E20" s="4">
        <v>1113</v>
      </c>
    </row>
    <row r="21" spans="1:5" ht="15" customHeight="1" x14ac:dyDescent="0.25">
      <c r="A21" s="40">
        <v>18</v>
      </c>
      <c r="E21" s="4">
        <v>1120</v>
      </c>
    </row>
    <row r="22" spans="1:5" ht="15" customHeight="1" x14ac:dyDescent="0.25">
      <c r="A22" s="40">
        <v>19</v>
      </c>
      <c r="E22" s="4">
        <v>1127</v>
      </c>
    </row>
    <row r="23" spans="1:5" ht="15" customHeight="1" x14ac:dyDescent="0.25">
      <c r="A23" s="40">
        <v>20</v>
      </c>
      <c r="E23" s="4">
        <v>1134</v>
      </c>
    </row>
    <row r="24" spans="1:5" ht="15" customHeight="1" x14ac:dyDescent="0.25">
      <c r="A24" s="40">
        <v>21</v>
      </c>
      <c r="E24" s="4">
        <v>1141</v>
      </c>
    </row>
    <row r="25" spans="1:5" ht="15" customHeight="1" x14ac:dyDescent="0.25">
      <c r="A25" s="40">
        <v>22</v>
      </c>
      <c r="E25" s="4">
        <v>1148</v>
      </c>
    </row>
    <row r="26" spans="1:5" ht="15" customHeight="1" x14ac:dyDescent="0.25">
      <c r="A26" s="40">
        <v>23</v>
      </c>
      <c r="E26" s="4">
        <v>1155</v>
      </c>
    </row>
    <row r="27" spans="1:5" ht="15" customHeight="1" x14ac:dyDescent="0.25">
      <c r="A27" s="40">
        <v>24</v>
      </c>
      <c r="E27" s="4">
        <v>1162</v>
      </c>
    </row>
    <row r="28" spans="1:5" ht="15" customHeight="1" x14ac:dyDescent="0.25">
      <c r="A28" s="40">
        <v>25</v>
      </c>
      <c r="E28" s="4">
        <v>1169</v>
      </c>
    </row>
    <row r="29" spans="1:5" ht="15" customHeight="1" x14ac:dyDescent="0.25">
      <c r="A29" s="40">
        <v>26</v>
      </c>
      <c r="E29" s="4">
        <v>1176</v>
      </c>
    </row>
    <row r="30" spans="1:5" ht="15" customHeight="1" x14ac:dyDescent="0.25">
      <c r="A30" s="40">
        <v>27</v>
      </c>
      <c r="E30" s="4">
        <v>1183</v>
      </c>
    </row>
    <row r="31" spans="1:5" ht="15" customHeight="1" x14ac:dyDescent="0.25">
      <c r="A31" s="40">
        <v>28</v>
      </c>
      <c r="E31" s="4">
        <v>1190</v>
      </c>
    </row>
    <row r="32" spans="1:5" ht="15" customHeight="1" x14ac:dyDescent="0.25">
      <c r="A32" s="40">
        <v>29</v>
      </c>
      <c r="E32" s="4">
        <v>1197</v>
      </c>
    </row>
    <row r="33" spans="1:5" ht="15" customHeight="1" x14ac:dyDescent="0.25">
      <c r="A33" s="40">
        <v>30</v>
      </c>
      <c r="E33" s="4">
        <v>1204</v>
      </c>
    </row>
    <row r="34" spans="1:5" ht="15" customHeight="1" x14ac:dyDescent="0.25">
      <c r="A34" s="40">
        <v>31</v>
      </c>
      <c r="E34" s="4">
        <v>1211</v>
      </c>
    </row>
    <row r="35" spans="1:5" ht="15" customHeight="1" x14ac:dyDescent="0.25">
      <c r="A35" s="40">
        <v>32</v>
      </c>
      <c r="E35" s="4">
        <v>1218</v>
      </c>
    </row>
    <row r="36" spans="1:5" ht="15" customHeight="1" x14ac:dyDescent="0.25">
      <c r="A36" s="40">
        <v>33</v>
      </c>
      <c r="E36" s="4">
        <v>1225</v>
      </c>
    </row>
    <row r="37" spans="1:5" ht="15" customHeight="1" x14ac:dyDescent="0.25">
      <c r="A37" s="40">
        <v>34</v>
      </c>
      <c r="E37" s="4">
        <v>1232</v>
      </c>
    </row>
    <row r="38" spans="1:5" ht="15" customHeight="1" x14ac:dyDescent="0.25">
      <c r="A38" s="40">
        <v>35</v>
      </c>
      <c r="E38" s="4">
        <v>1239</v>
      </c>
    </row>
    <row r="39" spans="1:5" ht="15" customHeight="1" x14ac:dyDescent="0.25">
      <c r="A39" s="40">
        <v>36</v>
      </c>
      <c r="E39" s="4">
        <v>1246</v>
      </c>
    </row>
    <row r="40" spans="1:5" ht="15" customHeight="1" x14ac:dyDescent="0.25">
      <c r="A40" s="40">
        <v>37</v>
      </c>
      <c r="E40" s="4">
        <v>1253</v>
      </c>
    </row>
    <row r="41" spans="1:5" ht="15" customHeight="1" x14ac:dyDescent="0.25">
      <c r="A41" s="40">
        <v>38</v>
      </c>
      <c r="E41" s="4">
        <v>1260</v>
      </c>
    </row>
    <row r="42" spans="1:5" ht="15" customHeight="1" x14ac:dyDescent="0.25">
      <c r="A42" s="40">
        <v>39</v>
      </c>
      <c r="E42" s="4">
        <v>1267</v>
      </c>
    </row>
    <row r="43" spans="1:5" ht="15" customHeight="1" x14ac:dyDescent="0.25">
      <c r="A43" s="40">
        <v>40</v>
      </c>
      <c r="E43" s="4">
        <v>1274</v>
      </c>
    </row>
    <row r="44" spans="1:5" ht="15" customHeight="1" x14ac:dyDescent="0.25">
      <c r="A44" s="40">
        <v>41</v>
      </c>
      <c r="E44" s="4">
        <v>1281</v>
      </c>
    </row>
    <row r="45" spans="1:5" ht="15" customHeight="1" x14ac:dyDescent="0.25">
      <c r="A45" s="40">
        <v>42</v>
      </c>
      <c r="E45" s="4">
        <v>1288</v>
      </c>
    </row>
    <row r="46" spans="1:5" ht="15" customHeight="1" x14ac:dyDescent="0.25">
      <c r="A46" s="40">
        <v>43</v>
      </c>
      <c r="E46" s="4">
        <v>1295</v>
      </c>
    </row>
    <row r="47" spans="1:5" ht="15" customHeight="1" x14ac:dyDescent="0.25">
      <c r="A47" s="40">
        <v>44</v>
      </c>
      <c r="E47" s="4">
        <v>1302</v>
      </c>
    </row>
    <row r="48" spans="1:5" ht="15" customHeight="1" x14ac:dyDescent="0.25">
      <c r="A48" s="40">
        <v>45</v>
      </c>
      <c r="E48" s="4">
        <v>1309</v>
      </c>
    </row>
    <row r="49" spans="1:5" ht="15" customHeight="1" x14ac:dyDescent="0.25">
      <c r="A49" s="40">
        <v>46</v>
      </c>
      <c r="E49" s="4">
        <v>1316</v>
      </c>
    </row>
    <row r="50" spans="1:5" ht="15" customHeight="1" x14ac:dyDescent="0.25">
      <c r="A50" s="40">
        <v>47</v>
      </c>
      <c r="E50" s="4">
        <v>1323</v>
      </c>
    </row>
    <row r="51" spans="1:5" ht="15" customHeight="1" x14ac:dyDescent="0.25">
      <c r="A51" s="40">
        <v>48</v>
      </c>
      <c r="E51" s="4">
        <v>1330</v>
      </c>
    </row>
    <row r="52" spans="1:5" ht="15" customHeight="1" x14ac:dyDescent="0.25">
      <c r="A52" s="40">
        <v>49</v>
      </c>
      <c r="E52" s="4">
        <v>1337</v>
      </c>
    </row>
    <row r="53" spans="1:5" ht="15" customHeight="1" x14ac:dyDescent="0.25">
      <c r="A53" s="40">
        <v>50</v>
      </c>
      <c r="E53" s="4">
        <v>1344</v>
      </c>
    </row>
    <row r="54" spans="1:5" ht="15" customHeight="1" x14ac:dyDescent="0.25">
      <c r="A54" s="40">
        <v>51</v>
      </c>
      <c r="E54" s="4">
        <v>1351</v>
      </c>
    </row>
    <row r="55" spans="1:5" ht="15" customHeight="1" x14ac:dyDescent="0.25">
      <c r="A55" s="40">
        <v>52</v>
      </c>
      <c r="E55" s="4">
        <v>1358</v>
      </c>
    </row>
    <row r="56" spans="1:5" ht="15" customHeight="1" x14ac:dyDescent="0.25">
      <c r="A56" s="40">
        <v>53</v>
      </c>
      <c r="E56" s="4">
        <v>1365</v>
      </c>
    </row>
    <row r="57" spans="1:5" ht="15" customHeight="1" x14ac:dyDescent="0.25">
      <c r="A57" s="40">
        <v>54</v>
      </c>
      <c r="E57" s="4">
        <v>1372</v>
      </c>
    </row>
    <row r="58" spans="1:5" ht="15" customHeight="1" x14ac:dyDescent="0.25">
      <c r="A58" s="40">
        <v>55</v>
      </c>
      <c r="E58" s="4">
        <v>1379</v>
      </c>
    </row>
    <row r="59" spans="1:5" ht="15" customHeight="1" x14ac:dyDescent="0.25">
      <c r="A59" s="40">
        <v>56</v>
      </c>
      <c r="E59" s="4">
        <v>1386</v>
      </c>
    </row>
    <row r="60" spans="1:5" ht="15" customHeight="1" x14ac:dyDescent="0.25">
      <c r="A60" s="40">
        <v>57</v>
      </c>
      <c r="E60" s="4">
        <v>1393</v>
      </c>
    </row>
    <row r="61" spans="1:5" ht="15" customHeight="1" x14ac:dyDescent="0.25">
      <c r="A61" s="40">
        <v>58</v>
      </c>
      <c r="E61" s="4">
        <v>1400</v>
      </c>
    </row>
    <row r="62" spans="1:5" ht="15" customHeight="1" x14ac:dyDescent="0.25">
      <c r="A62" s="40">
        <v>59</v>
      </c>
      <c r="E62" s="4">
        <v>1407</v>
      </c>
    </row>
    <row r="63" spans="1:5" ht="15" customHeight="1" x14ac:dyDescent="0.25">
      <c r="A63" s="40">
        <v>60</v>
      </c>
      <c r="E63" s="4">
        <v>1414</v>
      </c>
    </row>
    <row r="64" spans="1:5" ht="15" customHeight="1" x14ac:dyDescent="0.25">
      <c r="A64" s="40">
        <v>61</v>
      </c>
      <c r="E64" s="4">
        <v>1421</v>
      </c>
    </row>
    <row r="65" spans="1:5" ht="15" customHeight="1" x14ac:dyDescent="0.25">
      <c r="A65" s="40">
        <v>62</v>
      </c>
      <c r="E65" s="4">
        <v>1428</v>
      </c>
    </row>
    <row r="66" spans="1:5" ht="15" customHeight="1" x14ac:dyDescent="0.25">
      <c r="A66" s="40">
        <v>63</v>
      </c>
      <c r="E66" s="4">
        <v>1435</v>
      </c>
    </row>
    <row r="67" spans="1:5" ht="15" customHeight="1" x14ac:dyDescent="0.25">
      <c r="A67" s="40">
        <v>64</v>
      </c>
      <c r="E67" s="4">
        <v>1442</v>
      </c>
    </row>
    <row r="68" spans="1:5" ht="15" customHeight="1" x14ac:dyDescent="0.25">
      <c r="A68" s="40">
        <v>65</v>
      </c>
      <c r="E68" s="4">
        <v>1449</v>
      </c>
    </row>
    <row r="69" spans="1:5" ht="15" customHeight="1" x14ac:dyDescent="0.25">
      <c r="A69" s="40">
        <v>66</v>
      </c>
      <c r="E69" s="4">
        <v>1456</v>
      </c>
    </row>
    <row r="70" spans="1:5" ht="15" customHeight="1" x14ac:dyDescent="0.25">
      <c r="A70" s="40">
        <v>67</v>
      </c>
      <c r="E70" s="4">
        <v>1463</v>
      </c>
    </row>
    <row r="71" spans="1:5" ht="15" customHeight="1" x14ac:dyDescent="0.25">
      <c r="A71" s="40">
        <v>68</v>
      </c>
      <c r="E71" s="4">
        <v>1470</v>
      </c>
    </row>
    <row r="72" spans="1:5" ht="15" customHeight="1" x14ac:dyDescent="0.25">
      <c r="A72" s="40">
        <v>69</v>
      </c>
      <c r="E72" s="4">
        <v>1477</v>
      </c>
    </row>
    <row r="73" spans="1:5" ht="15" customHeight="1" x14ac:dyDescent="0.25">
      <c r="A73" s="40">
        <v>70</v>
      </c>
      <c r="E73" s="4">
        <v>1484</v>
      </c>
    </row>
    <row r="74" spans="1:5" ht="15" customHeight="1" x14ac:dyDescent="0.25">
      <c r="A74" s="40">
        <v>71</v>
      </c>
      <c r="E74" s="4">
        <v>1491</v>
      </c>
    </row>
    <row r="75" spans="1:5" ht="15" customHeight="1" x14ac:dyDescent="0.25">
      <c r="A75" s="40">
        <v>72</v>
      </c>
      <c r="E75" s="4">
        <v>1498</v>
      </c>
    </row>
    <row r="76" spans="1:5" ht="15" customHeight="1" x14ac:dyDescent="0.25">
      <c r="A76" s="40">
        <v>73</v>
      </c>
      <c r="E76" s="4">
        <v>1505</v>
      </c>
    </row>
    <row r="77" spans="1:5" ht="15" customHeight="1" x14ac:dyDescent="0.25">
      <c r="A77" s="40">
        <v>74</v>
      </c>
      <c r="E77" s="4">
        <v>1512</v>
      </c>
    </row>
    <row r="78" spans="1:5" ht="15" customHeight="1" x14ac:dyDescent="0.25">
      <c r="A78" s="40">
        <v>75</v>
      </c>
      <c r="E78" s="4">
        <v>1519</v>
      </c>
    </row>
    <row r="79" spans="1:5" ht="15" customHeight="1" x14ac:dyDescent="0.25">
      <c r="A79" s="40">
        <v>76</v>
      </c>
      <c r="E79" s="4">
        <v>1526</v>
      </c>
    </row>
    <row r="80" spans="1:5" ht="15" customHeight="1" x14ac:dyDescent="0.25">
      <c r="A80" s="40">
        <v>77</v>
      </c>
      <c r="E80" s="4">
        <v>1533</v>
      </c>
    </row>
    <row r="81" spans="1:5" ht="15" customHeight="1" x14ac:dyDescent="0.25">
      <c r="A81" s="40">
        <v>78</v>
      </c>
      <c r="E81" s="4">
        <v>1540</v>
      </c>
    </row>
    <row r="82" spans="1:5" ht="15" customHeight="1" x14ac:dyDescent="0.25">
      <c r="A82" s="40">
        <v>79</v>
      </c>
      <c r="E82" s="4">
        <v>1547</v>
      </c>
    </row>
    <row r="83" spans="1:5" ht="15" customHeight="1" x14ac:dyDescent="0.25">
      <c r="A83" s="40">
        <v>80</v>
      </c>
      <c r="E83" s="4">
        <v>1554</v>
      </c>
    </row>
    <row r="84" spans="1:5" ht="15" customHeight="1" x14ac:dyDescent="0.25">
      <c r="A84" s="40">
        <v>81</v>
      </c>
      <c r="E84" s="4">
        <v>1561</v>
      </c>
    </row>
    <row r="85" spans="1:5" ht="15" customHeight="1" x14ac:dyDescent="0.25">
      <c r="A85" s="40">
        <v>82</v>
      </c>
      <c r="E85" s="4">
        <v>1568</v>
      </c>
    </row>
    <row r="86" spans="1:5" ht="15" customHeight="1" x14ac:dyDescent="0.25">
      <c r="A86" s="40">
        <v>83</v>
      </c>
      <c r="E86" s="4">
        <v>1575</v>
      </c>
    </row>
    <row r="87" spans="1:5" ht="15" customHeight="1" x14ac:dyDescent="0.25">
      <c r="A87" s="40">
        <v>84</v>
      </c>
      <c r="E87" s="4">
        <v>1582</v>
      </c>
    </row>
    <row r="88" spans="1:5" ht="15" customHeight="1" x14ac:dyDescent="0.25">
      <c r="A88" s="40">
        <v>85</v>
      </c>
      <c r="E88" s="4">
        <v>1589</v>
      </c>
    </row>
    <row r="89" spans="1:5" ht="15" customHeight="1" x14ac:dyDescent="0.25">
      <c r="A89" s="40">
        <v>86</v>
      </c>
      <c r="E89" s="4">
        <v>1596</v>
      </c>
    </row>
    <row r="90" spans="1:5" ht="15" customHeight="1" x14ac:dyDescent="0.25">
      <c r="A90" s="40">
        <v>87</v>
      </c>
      <c r="E90" s="4">
        <v>1603</v>
      </c>
    </row>
    <row r="91" spans="1:5" ht="15" customHeight="1" x14ac:dyDescent="0.25">
      <c r="A91" s="40">
        <v>88</v>
      </c>
      <c r="E91" s="4">
        <v>1610</v>
      </c>
    </row>
    <row r="92" spans="1:5" ht="15" customHeight="1" x14ac:dyDescent="0.25">
      <c r="A92" s="40">
        <v>89</v>
      </c>
      <c r="E92" s="4">
        <v>1617</v>
      </c>
    </row>
    <row r="93" spans="1:5" ht="15" customHeight="1" x14ac:dyDescent="0.25">
      <c r="A93" s="40">
        <v>90</v>
      </c>
      <c r="E93" s="4">
        <v>1624</v>
      </c>
    </row>
    <row r="94" spans="1:5" ht="15" customHeight="1" x14ac:dyDescent="0.25">
      <c r="A94" s="40">
        <v>91</v>
      </c>
      <c r="E94" s="4">
        <v>1631</v>
      </c>
    </row>
    <row r="95" spans="1:5" ht="15" customHeight="1" x14ac:dyDescent="0.25">
      <c r="A95" s="40">
        <v>92</v>
      </c>
      <c r="E95" s="4">
        <v>1638</v>
      </c>
    </row>
    <row r="96" spans="1:5" ht="15" customHeight="1" x14ac:dyDescent="0.25">
      <c r="A96" s="40">
        <v>93</v>
      </c>
      <c r="E96" s="4">
        <v>1645</v>
      </c>
    </row>
    <row r="97" spans="1:5" ht="15" customHeight="1" x14ac:dyDescent="0.25">
      <c r="A97" s="40">
        <v>94</v>
      </c>
      <c r="E97" s="4">
        <v>1652</v>
      </c>
    </row>
    <row r="98" spans="1:5" ht="15" customHeight="1" x14ac:dyDescent="0.25">
      <c r="A98" s="40">
        <v>95</v>
      </c>
      <c r="E98" s="4">
        <v>1659</v>
      </c>
    </row>
    <row r="99" spans="1:5" ht="15" customHeight="1" x14ac:dyDescent="0.25">
      <c r="A99" s="40">
        <v>96</v>
      </c>
      <c r="E99" s="4">
        <v>1666</v>
      </c>
    </row>
    <row r="100" spans="1:5" ht="15" customHeight="1" x14ac:dyDescent="0.25">
      <c r="A100" s="40">
        <v>97</v>
      </c>
      <c r="E100" s="4">
        <v>1673</v>
      </c>
    </row>
    <row r="101" spans="1:5" ht="15" customHeight="1" x14ac:dyDescent="0.25">
      <c r="A101" s="40">
        <v>98</v>
      </c>
      <c r="E101" s="4">
        <v>1680</v>
      </c>
    </row>
    <row r="102" spans="1:5" ht="15" customHeight="1" x14ac:dyDescent="0.25">
      <c r="A102" s="40">
        <v>99</v>
      </c>
      <c r="E102" s="4">
        <v>1687</v>
      </c>
    </row>
    <row r="103" spans="1:5" ht="15" customHeight="1" x14ac:dyDescent="0.25">
      <c r="A103" s="40">
        <v>100</v>
      </c>
      <c r="E103" s="4">
        <v>1694</v>
      </c>
    </row>
    <row r="104" spans="1:5" ht="15" customHeight="1" x14ac:dyDescent="0.25">
      <c r="A104" s="40">
        <v>101</v>
      </c>
      <c r="E104" s="4">
        <v>1701</v>
      </c>
    </row>
    <row r="105" spans="1:5" ht="15" customHeight="1" x14ac:dyDescent="0.25">
      <c r="A105" s="40">
        <v>102</v>
      </c>
      <c r="E105" s="4">
        <v>1708</v>
      </c>
    </row>
    <row r="106" spans="1:5" ht="15" customHeight="1" x14ac:dyDescent="0.25">
      <c r="A106" s="40">
        <v>103</v>
      </c>
      <c r="E106" s="4">
        <v>1715</v>
      </c>
    </row>
    <row r="107" spans="1:5" x14ac:dyDescent="0.25">
      <c r="A107" s="40">
        <v>104</v>
      </c>
      <c r="E107" s="4">
        <v>1722</v>
      </c>
    </row>
    <row r="108" spans="1:5" x14ac:dyDescent="0.25">
      <c r="A108" s="40">
        <v>105</v>
      </c>
      <c r="E108" s="4">
        <v>1729</v>
      </c>
    </row>
    <row r="109" spans="1:5" x14ac:dyDescent="0.25">
      <c r="A109" s="40">
        <v>106</v>
      </c>
      <c r="E109" s="4">
        <v>1736</v>
      </c>
    </row>
    <row r="110" spans="1:5" x14ac:dyDescent="0.25">
      <c r="A110" s="40">
        <v>107</v>
      </c>
      <c r="E110" s="4">
        <v>1743</v>
      </c>
    </row>
    <row r="111" spans="1:5" x14ac:dyDescent="0.25">
      <c r="A111" s="40">
        <v>108</v>
      </c>
      <c r="E111" s="4">
        <v>1750</v>
      </c>
    </row>
    <row r="112" spans="1:5" x14ac:dyDescent="0.25">
      <c r="A112" s="40">
        <v>109</v>
      </c>
      <c r="E112" s="4">
        <v>1757</v>
      </c>
    </row>
    <row r="113" spans="1:5" x14ac:dyDescent="0.25">
      <c r="A113" s="40">
        <v>110</v>
      </c>
      <c r="E113" s="4">
        <v>1764</v>
      </c>
    </row>
    <row r="114" spans="1:5" x14ac:dyDescent="0.25">
      <c r="A114" s="40">
        <v>111</v>
      </c>
      <c r="E114" s="4">
        <v>1771</v>
      </c>
    </row>
    <row r="115" spans="1:5" x14ac:dyDescent="0.25">
      <c r="A115" s="40">
        <v>112</v>
      </c>
      <c r="E115" s="4">
        <v>1778</v>
      </c>
    </row>
    <row r="116" spans="1:5" x14ac:dyDescent="0.25">
      <c r="A116" s="40">
        <v>113</v>
      </c>
      <c r="E116" s="4">
        <v>1785</v>
      </c>
    </row>
    <row r="117" spans="1:5" x14ac:dyDescent="0.25">
      <c r="A117" s="40">
        <v>114</v>
      </c>
      <c r="E117" s="4">
        <v>1792</v>
      </c>
    </row>
    <row r="118" spans="1:5" x14ac:dyDescent="0.25">
      <c r="A118" s="40">
        <v>115</v>
      </c>
      <c r="E118" s="4">
        <v>1799</v>
      </c>
    </row>
    <row r="119" spans="1:5" ht="15" customHeight="1" x14ac:dyDescent="0.25">
      <c r="A119" s="40">
        <v>116</v>
      </c>
      <c r="E119" s="4">
        <v>1806</v>
      </c>
    </row>
    <row r="120" spans="1:5" x14ac:dyDescent="0.25">
      <c r="A120" s="40">
        <v>117</v>
      </c>
      <c r="E120" s="4">
        <v>1813</v>
      </c>
    </row>
    <row r="121" spans="1:5" x14ac:dyDescent="0.25">
      <c r="A121" s="40">
        <v>118</v>
      </c>
      <c r="E121" s="4">
        <v>1820</v>
      </c>
    </row>
    <row r="122" spans="1:5" x14ac:dyDescent="0.25">
      <c r="A122" s="40">
        <v>119</v>
      </c>
      <c r="E122" s="4">
        <v>1827</v>
      </c>
    </row>
    <row r="123" spans="1:5" x14ac:dyDescent="0.25">
      <c r="A123" s="40">
        <v>120</v>
      </c>
      <c r="E123" s="4">
        <v>1834</v>
      </c>
    </row>
    <row r="124" spans="1:5" x14ac:dyDescent="0.25">
      <c r="A124" s="40">
        <v>121</v>
      </c>
      <c r="E124" s="4">
        <v>1841</v>
      </c>
    </row>
    <row r="125" spans="1:5" x14ac:dyDescent="0.25">
      <c r="A125" s="40">
        <v>122</v>
      </c>
      <c r="E125" s="4">
        <v>1848</v>
      </c>
    </row>
    <row r="126" spans="1:5" x14ac:dyDescent="0.25">
      <c r="A126" s="40">
        <v>123</v>
      </c>
      <c r="E126" s="4">
        <v>1855</v>
      </c>
    </row>
    <row r="127" spans="1:5" x14ac:dyDescent="0.25">
      <c r="A127" s="40">
        <v>124</v>
      </c>
      <c r="E127" s="4">
        <v>1862</v>
      </c>
    </row>
    <row r="128" spans="1:5" x14ac:dyDescent="0.25">
      <c r="A128" s="40">
        <v>125</v>
      </c>
      <c r="E128" s="4">
        <v>1869</v>
      </c>
    </row>
    <row r="129" spans="1:5" x14ac:dyDescent="0.25">
      <c r="A129" s="40">
        <v>126</v>
      </c>
      <c r="E129" s="4">
        <v>1876</v>
      </c>
    </row>
    <row r="130" spans="1:5" x14ac:dyDescent="0.25">
      <c r="A130" s="40">
        <v>127</v>
      </c>
      <c r="E130" s="4">
        <v>1883</v>
      </c>
    </row>
    <row r="131" spans="1:5" x14ac:dyDescent="0.25">
      <c r="A131" s="40">
        <v>128</v>
      </c>
      <c r="E131" s="4">
        <v>1890</v>
      </c>
    </row>
    <row r="132" spans="1:5" x14ac:dyDescent="0.25">
      <c r="A132" s="40">
        <v>129</v>
      </c>
      <c r="E132" s="4">
        <v>1897</v>
      </c>
    </row>
    <row r="133" spans="1:5" x14ac:dyDescent="0.25">
      <c r="A133" s="40">
        <v>130</v>
      </c>
      <c r="E133" s="4">
        <v>1904</v>
      </c>
    </row>
    <row r="134" spans="1:5" x14ac:dyDescent="0.25">
      <c r="A134" s="40">
        <v>131</v>
      </c>
      <c r="E134" s="4">
        <v>1911</v>
      </c>
    </row>
    <row r="135" spans="1:5" x14ac:dyDescent="0.25">
      <c r="A135" s="40">
        <v>132</v>
      </c>
      <c r="E135" s="4">
        <v>1918</v>
      </c>
    </row>
    <row r="136" spans="1:5" x14ac:dyDescent="0.25">
      <c r="A136" s="40">
        <v>133</v>
      </c>
      <c r="E136" s="4">
        <v>1925</v>
      </c>
    </row>
    <row r="137" spans="1:5" x14ac:dyDescent="0.25">
      <c r="A137" s="40">
        <v>134</v>
      </c>
      <c r="E137" s="4">
        <v>1932</v>
      </c>
    </row>
    <row r="138" spans="1:5" x14ac:dyDescent="0.25">
      <c r="A138" s="40">
        <v>135</v>
      </c>
      <c r="E138" s="4">
        <v>1939</v>
      </c>
    </row>
    <row r="139" spans="1:5" x14ac:dyDescent="0.25">
      <c r="A139" s="40">
        <v>136</v>
      </c>
      <c r="E139" s="4">
        <v>1946</v>
      </c>
    </row>
    <row r="140" spans="1:5" x14ac:dyDescent="0.25">
      <c r="A140" s="40">
        <v>137</v>
      </c>
      <c r="E140" s="4">
        <v>1953</v>
      </c>
    </row>
    <row r="141" spans="1:5" x14ac:dyDescent="0.25">
      <c r="A141" s="40">
        <v>138</v>
      </c>
      <c r="E141" s="4">
        <v>1960</v>
      </c>
    </row>
    <row r="142" spans="1:5" x14ac:dyDescent="0.25">
      <c r="A142" s="40">
        <v>139</v>
      </c>
      <c r="E142" s="4">
        <v>1967</v>
      </c>
    </row>
    <row r="143" spans="1:5" x14ac:dyDescent="0.25">
      <c r="A143" s="40">
        <v>140</v>
      </c>
      <c r="E143" s="4">
        <v>1974</v>
      </c>
    </row>
    <row r="144" spans="1:5" x14ac:dyDescent="0.25">
      <c r="A144" s="40">
        <v>141</v>
      </c>
      <c r="E144" s="4">
        <v>1981</v>
      </c>
    </row>
    <row r="145" spans="1:5" x14ac:dyDescent="0.25">
      <c r="A145" s="40">
        <v>142</v>
      </c>
      <c r="E145" s="4">
        <v>1988</v>
      </c>
    </row>
    <row r="146" spans="1:5" x14ac:dyDescent="0.25">
      <c r="A146" s="40">
        <v>143</v>
      </c>
      <c r="E146" s="4">
        <v>1995</v>
      </c>
    </row>
    <row r="147" spans="1:5" x14ac:dyDescent="0.25">
      <c r="A147" s="40">
        <v>144</v>
      </c>
      <c r="E147" s="4">
        <v>2002</v>
      </c>
    </row>
    <row r="148" spans="1:5" x14ac:dyDescent="0.25">
      <c r="A148" s="40">
        <v>145</v>
      </c>
      <c r="E148" s="4">
        <v>2009</v>
      </c>
    </row>
    <row r="149" spans="1:5" x14ac:dyDescent="0.25">
      <c r="A149" s="40">
        <v>146</v>
      </c>
      <c r="E149" s="4">
        <v>2016</v>
      </c>
    </row>
    <row r="150" spans="1:5" x14ac:dyDescent="0.25">
      <c r="A150" s="40">
        <v>147</v>
      </c>
      <c r="E150" s="4">
        <v>2023</v>
      </c>
    </row>
    <row r="151" spans="1:5" x14ac:dyDescent="0.25">
      <c r="A151" s="40">
        <v>148</v>
      </c>
      <c r="E151" s="4">
        <v>2030</v>
      </c>
    </row>
    <row r="152" spans="1:5" x14ac:dyDescent="0.25">
      <c r="A152" s="40">
        <v>149</v>
      </c>
      <c r="E152" s="4">
        <v>2037</v>
      </c>
    </row>
    <row r="153" spans="1:5" x14ac:dyDescent="0.25">
      <c r="A153" s="40">
        <v>150</v>
      </c>
      <c r="E153" s="4">
        <v>2044</v>
      </c>
    </row>
    <row r="154" spans="1:5" x14ac:dyDescent="0.25">
      <c r="A154" s="40">
        <v>151</v>
      </c>
      <c r="E154" s="4">
        <v>2051</v>
      </c>
    </row>
    <row r="155" spans="1:5" x14ac:dyDescent="0.25">
      <c r="A155" s="40">
        <v>152</v>
      </c>
      <c r="E155" s="4">
        <v>2058</v>
      </c>
    </row>
    <row r="156" spans="1:5" x14ac:dyDescent="0.25">
      <c r="A156" s="40">
        <v>153</v>
      </c>
      <c r="E156" s="4">
        <v>2065</v>
      </c>
    </row>
    <row r="157" spans="1:5" x14ac:dyDescent="0.25">
      <c r="A157" s="40">
        <v>154</v>
      </c>
      <c r="E157" s="4">
        <v>2072</v>
      </c>
    </row>
    <row r="158" spans="1:5" x14ac:dyDescent="0.25">
      <c r="A158" s="40">
        <v>155</v>
      </c>
      <c r="E158" s="4">
        <v>2079</v>
      </c>
    </row>
    <row r="159" spans="1:5" x14ac:dyDescent="0.25">
      <c r="A159" s="40">
        <v>156</v>
      </c>
      <c r="E159" s="4">
        <v>2086</v>
      </c>
    </row>
    <row r="160" spans="1:5" x14ac:dyDescent="0.25">
      <c r="A160" s="40">
        <v>157</v>
      </c>
      <c r="E160" s="4">
        <v>2093</v>
      </c>
    </row>
    <row r="161" spans="1:5" x14ac:dyDescent="0.25">
      <c r="A161" s="40">
        <v>158</v>
      </c>
      <c r="E161" s="4">
        <v>2100</v>
      </c>
    </row>
    <row r="162" spans="1:5" x14ac:dyDescent="0.25">
      <c r="A162" s="40">
        <v>159</v>
      </c>
      <c r="E162" s="4">
        <v>2107</v>
      </c>
    </row>
    <row r="163" spans="1:5" x14ac:dyDescent="0.25">
      <c r="A163" s="40">
        <v>160</v>
      </c>
      <c r="E163" s="4">
        <v>2114</v>
      </c>
    </row>
    <row r="164" spans="1:5" x14ac:dyDescent="0.25">
      <c r="A164" s="40">
        <v>161</v>
      </c>
      <c r="E164" s="4">
        <v>2121</v>
      </c>
    </row>
    <row r="165" spans="1:5" x14ac:dyDescent="0.25">
      <c r="A165" s="40">
        <v>162</v>
      </c>
      <c r="E165" s="4">
        <v>2128</v>
      </c>
    </row>
    <row r="166" spans="1:5" x14ac:dyDescent="0.25">
      <c r="A166" s="40">
        <v>163</v>
      </c>
      <c r="E166" s="4">
        <v>2135</v>
      </c>
    </row>
    <row r="167" spans="1:5" x14ac:dyDescent="0.25">
      <c r="A167" s="40">
        <v>164</v>
      </c>
      <c r="E167" s="4">
        <v>2142</v>
      </c>
    </row>
    <row r="168" spans="1:5" x14ac:dyDescent="0.25">
      <c r="A168" s="40">
        <v>165</v>
      </c>
      <c r="E168" s="4">
        <v>2149</v>
      </c>
    </row>
    <row r="169" spans="1:5" x14ac:dyDescent="0.25">
      <c r="A169" s="40">
        <v>166</v>
      </c>
      <c r="E169" s="4">
        <v>2156</v>
      </c>
    </row>
    <row r="170" spans="1:5" x14ac:dyDescent="0.25">
      <c r="A170" s="40">
        <v>167</v>
      </c>
      <c r="E170" s="4">
        <v>2163</v>
      </c>
    </row>
    <row r="171" spans="1:5" x14ac:dyDescent="0.25">
      <c r="A171" s="40">
        <v>168</v>
      </c>
      <c r="E171" s="4">
        <v>2170</v>
      </c>
    </row>
    <row r="172" spans="1:5" x14ac:dyDescent="0.25">
      <c r="A172" s="40">
        <v>169</v>
      </c>
      <c r="E172" s="4">
        <v>2177</v>
      </c>
    </row>
    <row r="173" spans="1:5" x14ac:dyDescent="0.25">
      <c r="A173" s="40">
        <v>170</v>
      </c>
      <c r="E173" s="4">
        <v>2184</v>
      </c>
    </row>
    <row r="174" spans="1:5" x14ac:dyDescent="0.25">
      <c r="A174" s="40">
        <v>171</v>
      </c>
      <c r="E174" s="4">
        <v>2191</v>
      </c>
    </row>
    <row r="175" spans="1:5" x14ac:dyDescent="0.25">
      <c r="A175" s="40">
        <v>172</v>
      </c>
      <c r="E175" s="4">
        <v>2198</v>
      </c>
    </row>
    <row r="176" spans="1:5" x14ac:dyDescent="0.25">
      <c r="A176" s="40">
        <v>173</v>
      </c>
      <c r="E176" s="4">
        <v>2205</v>
      </c>
    </row>
    <row r="177" spans="1:5" x14ac:dyDescent="0.25">
      <c r="A177" s="40">
        <v>174</v>
      </c>
      <c r="E177" s="4">
        <v>2212</v>
      </c>
    </row>
    <row r="178" spans="1:5" x14ac:dyDescent="0.25">
      <c r="A178" s="40">
        <v>175</v>
      </c>
      <c r="E178" s="4">
        <v>2219</v>
      </c>
    </row>
    <row r="179" spans="1:5" x14ac:dyDescent="0.25">
      <c r="A179" s="40">
        <v>176</v>
      </c>
      <c r="E179" s="4">
        <v>2226</v>
      </c>
    </row>
    <row r="180" spans="1:5" x14ac:dyDescent="0.25">
      <c r="A180" s="40">
        <v>177</v>
      </c>
      <c r="E180" s="4">
        <v>2233</v>
      </c>
    </row>
    <row r="181" spans="1:5" x14ac:dyDescent="0.25">
      <c r="A181" s="40">
        <v>178</v>
      </c>
      <c r="E181" s="4">
        <v>2240</v>
      </c>
    </row>
    <row r="182" spans="1:5" x14ac:dyDescent="0.25">
      <c r="A182" s="40">
        <v>179</v>
      </c>
      <c r="E182" s="4">
        <v>2247</v>
      </c>
    </row>
    <row r="183" spans="1:5" x14ac:dyDescent="0.25">
      <c r="A183" s="40">
        <v>180</v>
      </c>
      <c r="E183" s="4">
        <v>2254</v>
      </c>
    </row>
    <row r="184" spans="1:5" x14ac:dyDescent="0.25">
      <c r="A184" s="40">
        <v>181</v>
      </c>
      <c r="E184" s="4">
        <v>2261</v>
      </c>
    </row>
    <row r="185" spans="1:5" x14ac:dyDescent="0.25">
      <c r="A185" s="40">
        <v>182</v>
      </c>
      <c r="E185" s="4">
        <v>2268</v>
      </c>
    </row>
    <row r="186" spans="1:5" x14ac:dyDescent="0.25">
      <c r="A186" s="40">
        <v>183</v>
      </c>
      <c r="E186" s="4">
        <v>2275</v>
      </c>
    </row>
    <row r="187" spans="1:5" x14ac:dyDescent="0.25">
      <c r="A187" s="40">
        <v>184</v>
      </c>
      <c r="E187" s="4">
        <v>2282</v>
      </c>
    </row>
    <row r="188" spans="1:5" x14ac:dyDescent="0.25">
      <c r="A188" s="40">
        <v>185</v>
      </c>
      <c r="E188" s="4">
        <v>2289</v>
      </c>
    </row>
    <row r="189" spans="1:5" x14ac:dyDescent="0.25">
      <c r="A189" s="40">
        <v>186</v>
      </c>
      <c r="E189" s="4">
        <v>2296</v>
      </c>
    </row>
    <row r="190" spans="1:5" x14ac:dyDescent="0.25">
      <c r="A190" s="40">
        <v>187</v>
      </c>
      <c r="E190" s="4">
        <v>2303</v>
      </c>
    </row>
    <row r="191" spans="1:5" x14ac:dyDescent="0.25">
      <c r="A191" s="40">
        <v>188</v>
      </c>
      <c r="E191" s="4">
        <v>2310</v>
      </c>
    </row>
    <row r="192" spans="1:5" x14ac:dyDescent="0.25">
      <c r="A192" s="40">
        <v>189</v>
      </c>
      <c r="E192" s="4">
        <v>2317</v>
      </c>
    </row>
    <row r="193" spans="1:5" x14ac:dyDescent="0.25">
      <c r="A193" s="40">
        <v>190</v>
      </c>
      <c r="E193" s="4">
        <v>2324</v>
      </c>
    </row>
    <row r="194" spans="1:5" x14ac:dyDescent="0.25">
      <c r="A194" s="40">
        <v>191</v>
      </c>
      <c r="E194" s="4">
        <v>2331</v>
      </c>
    </row>
    <row r="195" spans="1:5" x14ac:dyDescent="0.25">
      <c r="A195" s="40">
        <v>192</v>
      </c>
      <c r="E195" s="4">
        <v>2338</v>
      </c>
    </row>
    <row r="196" spans="1:5" x14ac:dyDescent="0.25">
      <c r="A196" s="40">
        <v>193</v>
      </c>
      <c r="E196" s="4">
        <v>4243</v>
      </c>
    </row>
    <row r="197" spans="1:5" x14ac:dyDescent="0.25">
      <c r="A197" s="40">
        <v>194</v>
      </c>
      <c r="E197" s="4">
        <v>2352</v>
      </c>
    </row>
    <row r="198" spans="1:5" x14ac:dyDescent="0.25">
      <c r="A198" s="40">
        <v>195</v>
      </c>
      <c r="E198" s="4">
        <v>2359</v>
      </c>
    </row>
    <row r="199" spans="1:5" x14ac:dyDescent="0.25">
      <c r="A199" s="40">
        <v>196</v>
      </c>
      <c r="E199" s="4">
        <v>2366</v>
      </c>
    </row>
    <row r="200" spans="1:5" x14ac:dyDescent="0.25">
      <c r="A200" s="40">
        <v>197</v>
      </c>
      <c r="E200" s="4">
        <v>2373</v>
      </c>
    </row>
    <row r="201" spans="1:5" x14ac:dyDescent="0.25">
      <c r="A201" s="40">
        <v>198</v>
      </c>
      <c r="E201" s="4">
        <v>2380</v>
      </c>
    </row>
    <row r="202" spans="1:5" x14ac:dyDescent="0.25">
      <c r="A202" s="40">
        <v>199</v>
      </c>
      <c r="E202" s="4">
        <v>2387</v>
      </c>
    </row>
    <row r="203" spans="1:5" x14ac:dyDescent="0.25">
      <c r="A203" s="40">
        <v>200</v>
      </c>
      <c r="E203" s="4">
        <v>2394</v>
      </c>
    </row>
    <row r="204" spans="1:5" x14ac:dyDescent="0.25">
      <c r="A204" s="40">
        <v>201</v>
      </c>
      <c r="E204" s="4">
        <v>2401</v>
      </c>
    </row>
    <row r="205" spans="1:5" x14ac:dyDescent="0.25">
      <c r="A205" s="40">
        <v>202</v>
      </c>
      <c r="E205" s="4">
        <v>2408</v>
      </c>
    </row>
    <row r="206" spans="1:5" x14ac:dyDescent="0.25">
      <c r="A206" s="40">
        <v>203</v>
      </c>
      <c r="E206" s="4">
        <v>2415</v>
      </c>
    </row>
    <row r="207" spans="1:5" x14ac:dyDescent="0.25">
      <c r="A207" s="40">
        <v>204</v>
      </c>
      <c r="E207" s="4">
        <v>2422</v>
      </c>
    </row>
    <row r="208" spans="1:5" x14ac:dyDescent="0.25">
      <c r="A208" s="40">
        <v>205</v>
      </c>
      <c r="E208" s="4">
        <v>2429</v>
      </c>
    </row>
    <row r="209" spans="1:5" x14ac:dyDescent="0.25">
      <c r="A209" s="40">
        <v>206</v>
      </c>
      <c r="E209" s="4">
        <v>2436</v>
      </c>
    </row>
    <row r="210" spans="1:5" x14ac:dyDescent="0.25">
      <c r="A210" s="40">
        <v>207</v>
      </c>
      <c r="E210" s="4">
        <v>2443</v>
      </c>
    </row>
    <row r="211" spans="1:5" x14ac:dyDescent="0.25">
      <c r="A211" s="40">
        <v>208</v>
      </c>
      <c r="E211" s="4">
        <v>2450</v>
      </c>
    </row>
    <row r="212" spans="1:5" x14ac:dyDescent="0.25">
      <c r="A212" s="40">
        <v>209</v>
      </c>
      <c r="E212" s="4">
        <v>2457</v>
      </c>
    </row>
    <row r="213" spans="1:5" x14ac:dyDescent="0.25">
      <c r="A213" s="40">
        <v>210</v>
      </c>
      <c r="E213" s="4">
        <v>2464</v>
      </c>
    </row>
    <row r="214" spans="1:5" x14ac:dyDescent="0.25">
      <c r="A214" s="40">
        <v>211</v>
      </c>
      <c r="E214" s="4">
        <v>2471</v>
      </c>
    </row>
    <row r="215" spans="1:5" x14ac:dyDescent="0.25">
      <c r="A215" s="40">
        <v>212</v>
      </c>
      <c r="E215" s="4">
        <v>2478</v>
      </c>
    </row>
    <row r="216" spans="1:5" x14ac:dyDescent="0.25">
      <c r="A216" s="40">
        <v>213</v>
      </c>
      <c r="E216" s="4">
        <v>2485</v>
      </c>
    </row>
    <row r="217" spans="1:5" x14ac:dyDescent="0.25">
      <c r="A217" s="40">
        <v>214</v>
      </c>
      <c r="E217" s="4">
        <v>2492</v>
      </c>
    </row>
    <row r="218" spans="1:5" x14ac:dyDescent="0.25">
      <c r="A218" s="40">
        <v>215</v>
      </c>
      <c r="E218" s="4">
        <v>2499</v>
      </c>
    </row>
    <row r="219" spans="1:5" x14ac:dyDescent="0.25">
      <c r="A219" s="40">
        <v>216</v>
      </c>
      <c r="E219" s="4">
        <v>2506</v>
      </c>
    </row>
    <row r="220" spans="1:5" x14ac:dyDescent="0.25">
      <c r="A220" s="40">
        <v>217</v>
      </c>
      <c r="E220" s="4">
        <v>2513</v>
      </c>
    </row>
    <row r="221" spans="1:5" x14ac:dyDescent="0.25">
      <c r="A221" s="40">
        <v>218</v>
      </c>
      <c r="E221" s="4">
        <v>2520</v>
      </c>
    </row>
    <row r="222" spans="1:5" x14ac:dyDescent="0.25">
      <c r="A222" s="40">
        <v>219</v>
      </c>
      <c r="E222" s="4">
        <v>2527</v>
      </c>
    </row>
    <row r="223" spans="1:5" x14ac:dyDescent="0.25">
      <c r="A223" s="40">
        <v>220</v>
      </c>
      <c r="E223" s="4">
        <v>2534</v>
      </c>
    </row>
    <row r="224" spans="1:5" x14ac:dyDescent="0.25">
      <c r="A224" s="40">
        <v>221</v>
      </c>
      <c r="E224" s="4">
        <v>2541</v>
      </c>
    </row>
    <row r="225" spans="1:5" x14ac:dyDescent="0.25">
      <c r="A225" s="40">
        <v>222</v>
      </c>
      <c r="E225" s="4">
        <v>2548</v>
      </c>
    </row>
    <row r="226" spans="1:5" x14ac:dyDescent="0.25">
      <c r="A226" s="40">
        <v>223</v>
      </c>
      <c r="E226" s="4">
        <v>2555</v>
      </c>
    </row>
    <row r="227" spans="1:5" x14ac:dyDescent="0.25">
      <c r="A227" s="40">
        <v>224</v>
      </c>
      <c r="E227" s="4">
        <v>2562</v>
      </c>
    </row>
    <row r="228" spans="1:5" x14ac:dyDescent="0.25">
      <c r="A228" s="40">
        <v>225</v>
      </c>
      <c r="E228" s="4">
        <v>2569</v>
      </c>
    </row>
    <row r="229" spans="1:5" x14ac:dyDescent="0.25">
      <c r="A229" s="40">
        <v>226</v>
      </c>
      <c r="E229" s="4">
        <v>2576</v>
      </c>
    </row>
    <row r="230" spans="1:5" x14ac:dyDescent="0.25">
      <c r="A230" s="40">
        <v>227</v>
      </c>
      <c r="E230" s="4">
        <v>2583</v>
      </c>
    </row>
    <row r="231" spans="1:5" x14ac:dyDescent="0.25">
      <c r="A231" s="40">
        <v>228</v>
      </c>
      <c r="E231" s="4">
        <v>2590</v>
      </c>
    </row>
    <row r="232" spans="1:5" x14ac:dyDescent="0.25">
      <c r="A232" s="40">
        <v>229</v>
      </c>
      <c r="E232" s="4">
        <v>2597</v>
      </c>
    </row>
    <row r="233" spans="1:5" x14ac:dyDescent="0.25">
      <c r="A233" s="40">
        <v>230</v>
      </c>
      <c r="E233" s="4">
        <v>2604</v>
      </c>
    </row>
    <row r="234" spans="1:5" x14ac:dyDescent="0.25">
      <c r="A234" s="40">
        <v>231</v>
      </c>
      <c r="E234" s="4">
        <v>2611</v>
      </c>
    </row>
    <row r="235" spans="1:5" x14ac:dyDescent="0.25">
      <c r="A235" s="40">
        <v>232</v>
      </c>
      <c r="E235" s="4">
        <v>2618</v>
      </c>
    </row>
    <row r="236" spans="1:5" x14ac:dyDescent="0.25">
      <c r="A236" s="40">
        <v>233</v>
      </c>
      <c r="E236" s="4">
        <v>2625</v>
      </c>
    </row>
    <row r="237" spans="1:5" x14ac:dyDescent="0.25">
      <c r="A237" s="40">
        <v>234</v>
      </c>
      <c r="E237" s="4">
        <v>2632</v>
      </c>
    </row>
    <row r="238" spans="1:5" x14ac:dyDescent="0.25">
      <c r="A238" s="40">
        <v>235</v>
      </c>
      <c r="E238" s="4">
        <v>2639</v>
      </c>
    </row>
    <row r="239" spans="1:5" x14ac:dyDescent="0.25">
      <c r="A239" s="40">
        <v>236</v>
      </c>
      <c r="E239" s="4">
        <v>2646</v>
      </c>
    </row>
    <row r="240" spans="1:5" x14ac:dyDescent="0.25">
      <c r="A240" s="40">
        <v>237</v>
      </c>
      <c r="E240" s="4">
        <v>2653</v>
      </c>
    </row>
    <row r="241" spans="1:5" x14ac:dyDescent="0.25">
      <c r="A241" s="40">
        <v>238</v>
      </c>
      <c r="E241" s="4">
        <v>2660</v>
      </c>
    </row>
    <row r="242" spans="1:5" x14ac:dyDescent="0.25">
      <c r="A242" s="40">
        <v>239</v>
      </c>
      <c r="E242" s="4">
        <v>2667</v>
      </c>
    </row>
    <row r="243" spans="1:5" x14ac:dyDescent="0.25">
      <c r="A243" s="40">
        <v>240</v>
      </c>
      <c r="E243" s="4">
        <v>2674</v>
      </c>
    </row>
    <row r="244" spans="1:5" x14ac:dyDescent="0.25">
      <c r="A244" s="40">
        <v>241</v>
      </c>
      <c r="E244" s="4">
        <v>2681</v>
      </c>
    </row>
    <row r="245" spans="1:5" x14ac:dyDescent="0.25">
      <c r="A245" s="40">
        <v>242</v>
      </c>
      <c r="E245" s="4">
        <v>2688</v>
      </c>
    </row>
    <row r="246" spans="1:5" x14ac:dyDescent="0.25">
      <c r="A246" s="40">
        <v>243</v>
      </c>
      <c r="E246" s="4">
        <v>2695</v>
      </c>
    </row>
    <row r="247" spans="1:5" x14ac:dyDescent="0.25">
      <c r="A247" s="40">
        <v>244</v>
      </c>
      <c r="E247" s="4">
        <v>2702</v>
      </c>
    </row>
    <row r="248" spans="1:5" x14ac:dyDescent="0.25">
      <c r="A248" s="40">
        <v>245</v>
      </c>
      <c r="E248" s="4">
        <v>2709</v>
      </c>
    </row>
    <row r="249" spans="1:5" x14ac:dyDescent="0.25">
      <c r="A249" s="40">
        <v>246</v>
      </c>
      <c r="E249" s="4">
        <v>2716</v>
      </c>
    </row>
    <row r="250" spans="1:5" x14ac:dyDescent="0.25">
      <c r="A250" s="40">
        <v>247</v>
      </c>
      <c r="E250" s="4">
        <v>2723</v>
      </c>
    </row>
    <row r="251" spans="1:5" x14ac:dyDescent="0.25">
      <c r="A251" s="40">
        <v>248</v>
      </c>
      <c r="E251" s="4">
        <v>2730</v>
      </c>
    </row>
    <row r="252" spans="1:5" x14ac:dyDescent="0.25">
      <c r="A252" s="40">
        <v>249</v>
      </c>
      <c r="E252" s="4">
        <v>2737</v>
      </c>
    </row>
    <row r="253" spans="1:5" x14ac:dyDescent="0.25">
      <c r="A253" s="40">
        <v>250</v>
      </c>
      <c r="E253" s="4">
        <v>2744</v>
      </c>
    </row>
    <row r="254" spans="1:5" x14ac:dyDescent="0.25">
      <c r="A254" s="40">
        <v>251</v>
      </c>
      <c r="E254" s="4">
        <v>2751</v>
      </c>
    </row>
    <row r="255" spans="1:5" x14ac:dyDescent="0.25">
      <c r="A255" s="40">
        <v>252</v>
      </c>
      <c r="E255" s="4">
        <v>2758</v>
      </c>
    </row>
    <row r="256" spans="1:5" x14ac:dyDescent="0.25">
      <c r="A256" s="40">
        <v>253</v>
      </c>
      <c r="E256" s="4">
        <v>2765</v>
      </c>
    </row>
    <row r="257" spans="1:5" x14ac:dyDescent="0.25">
      <c r="A257" s="40">
        <v>254</v>
      </c>
      <c r="E257" s="4">
        <v>2772</v>
      </c>
    </row>
    <row r="258" spans="1:5" x14ac:dyDescent="0.25">
      <c r="A258" s="40">
        <v>255</v>
      </c>
      <c r="E258" s="4">
        <v>2779</v>
      </c>
    </row>
    <row r="259" spans="1:5" x14ac:dyDescent="0.25">
      <c r="A259" s="40">
        <v>256</v>
      </c>
      <c r="E259" s="4">
        <v>2786</v>
      </c>
    </row>
    <row r="260" spans="1:5" x14ac:dyDescent="0.25">
      <c r="A260" s="40">
        <v>257</v>
      </c>
      <c r="E260" s="4">
        <v>2793</v>
      </c>
    </row>
    <row r="261" spans="1:5" x14ac:dyDescent="0.25">
      <c r="A261" s="40">
        <v>258</v>
      </c>
      <c r="E261" s="4">
        <v>2800</v>
      </c>
    </row>
    <row r="262" spans="1:5" x14ac:dyDescent="0.25">
      <c r="A262" s="40">
        <v>259</v>
      </c>
      <c r="E262" s="4">
        <v>2807</v>
      </c>
    </row>
    <row r="263" spans="1:5" x14ac:dyDescent="0.25">
      <c r="A263" s="40">
        <v>260</v>
      </c>
      <c r="E263" s="4">
        <v>2814</v>
      </c>
    </row>
    <row r="264" spans="1:5" x14ac:dyDescent="0.25">
      <c r="A264" s="40">
        <v>261</v>
      </c>
      <c r="E264" s="4">
        <v>2821</v>
      </c>
    </row>
    <row r="265" spans="1:5" x14ac:dyDescent="0.25">
      <c r="A265" s="40">
        <v>262</v>
      </c>
      <c r="E265" s="4">
        <v>2828</v>
      </c>
    </row>
    <row r="266" spans="1:5" x14ac:dyDescent="0.25">
      <c r="A266" s="40">
        <v>263</v>
      </c>
      <c r="E266" s="4">
        <v>2835</v>
      </c>
    </row>
    <row r="267" spans="1:5" x14ac:dyDescent="0.25">
      <c r="A267" s="40">
        <v>264</v>
      </c>
      <c r="E267" s="4">
        <v>2842</v>
      </c>
    </row>
    <row r="268" spans="1:5" x14ac:dyDescent="0.25">
      <c r="A268" s="40">
        <v>265</v>
      </c>
      <c r="E268" s="4">
        <v>2849</v>
      </c>
    </row>
    <row r="269" spans="1:5" x14ac:dyDescent="0.25">
      <c r="A269" s="40">
        <v>266</v>
      </c>
      <c r="E269" s="4">
        <v>2856</v>
      </c>
    </row>
    <row r="270" spans="1:5" x14ac:dyDescent="0.25">
      <c r="A270" s="40">
        <v>267</v>
      </c>
      <c r="E270" s="4">
        <v>2863</v>
      </c>
    </row>
    <row r="271" spans="1:5" x14ac:dyDescent="0.25">
      <c r="A271" s="40">
        <v>268</v>
      </c>
      <c r="E271" s="4">
        <v>2870</v>
      </c>
    </row>
    <row r="272" spans="1:5" x14ac:dyDescent="0.25">
      <c r="A272" s="40">
        <v>269</v>
      </c>
      <c r="E272" s="4">
        <v>2877</v>
      </c>
    </row>
    <row r="273" spans="1:5" x14ac:dyDescent="0.25">
      <c r="A273" s="40">
        <v>270</v>
      </c>
      <c r="E273" s="4">
        <v>2884</v>
      </c>
    </row>
    <row r="274" spans="1:5" x14ac:dyDescent="0.25">
      <c r="A274" s="40">
        <v>271</v>
      </c>
      <c r="E274" s="4">
        <v>2891</v>
      </c>
    </row>
    <row r="275" spans="1:5" x14ac:dyDescent="0.25">
      <c r="A275" s="40">
        <v>272</v>
      </c>
      <c r="E275" s="4">
        <v>2898</v>
      </c>
    </row>
    <row r="276" spans="1:5" x14ac:dyDescent="0.25">
      <c r="A276" s="40">
        <v>273</v>
      </c>
      <c r="E276" s="4">
        <v>2905</v>
      </c>
    </row>
    <row r="277" spans="1:5" x14ac:dyDescent="0.25">
      <c r="A277" s="40">
        <v>274</v>
      </c>
      <c r="E277" s="4">
        <v>2912</v>
      </c>
    </row>
    <row r="278" spans="1:5" x14ac:dyDescent="0.25">
      <c r="A278" s="40">
        <v>275</v>
      </c>
      <c r="E278" s="4">
        <v>2919</v>
      </c>
    </row>
    <row r="279" spans="1:5" x14ac:dyDescent="0.25">
      <c r="A279" s="40">
        <v>276</v>
      </c>
      <c r="E279" s="4">
        <v>2926</v>
      </c>
    </row>
    <row r="280" spans="1:5" x14ac:dyDescent="0.25">
      <c r="A280" s="40">
        <v>277</v>
      </c>
      <c r="E280" s="4">
        <v>2933</v>
      </c>
    </row>
    <row r="281" spans="1:5" x14ac:dyDescent="0.25">
      <c r="A281" s="40">
        <v>278</v>
      </c>
      <c r="E281" s="4">
        <v>2940</v>
      </c>
    </row>
    <row r="282" spans="1:5" x14ac:dyDescent="0.25">
      <c r="A282" s="40">
        <v>279</v>
      </c>
      <c r="E282" s="4">
        <v>2947</v>
      </c>
    </row>
    <row r="283" spans="1:5" x14ac:dyDescent="0.25">
      <c r="A283" s="40">
        <v>280</v>
      </c>
      <c r="E283" s="4">
        <v>2954</v>
      </c>
    </row>
    <row r="284" spans="1:5" x14ac:dyDescent="0.25">
      <c r="A284" s="40">
        <v>281</v>
      </c>
      <c r="E284" s="4">
        <v>2961</v>
      </c>
    </row>
    <row r="285" spans="1:5" x14ac:dyDescent="0.25">
      <c r="A285" s="40">
        <v>282</v>
      </c>
      <c r="E285" s="4">
        <v>2968</v>
      </c>
    </row>
    <row r="286" spans="1:5" x14ac:dyDescent="0.25">
      <c r="A286" s="40">
        <v>283</v>
      </c>
      <c r="E286" s="4">
        <v>2975</v>
      </c>
    </row>
    <row r="287" spans="1:5" x14ac:dyDescent="0.25">
      <c r="A287" s="40">
        <v>284</v>
      </c>
      <c r="E287" s="4">
        <v>2982</v>
      </c>
    </row>
    <row r="288" spans="1:5" x14ac:dyDescent="0.25">
      <c r="A288" s="40">
        <v>285</v>
      </c>
      <c r="E288" s="4">
        <v>2989</v>
      </c>
    </row>
    <row r="289" spans="1:5" x14ac:dyDescent="0.25">
      <c r="A289" s="40">
        <v>286</v>
      </c>
      <c r="E289" s="4">
        <v>2996</v>
      </c>
    </row>
    <row r="290" spans="1:5" x14ac:dyDescent="0.25">
      <c r="A290" s="40">
        <v>287</v>
      </c>
      <c r="E290" s="4">
        <v>3003</v>
      </c>
    </row>
    <row r="291" spans="1:5" x14ac:dyDescent="0.25">
      <c r="A291" s="40">
        <v>288</v>
      </c>
      <c r="E291" s="4">
        <v>3010</v>
      </c>
    </row>
    <row r="292" spans="1:5" x14ac:dyDescent="0.25">
      <c r="A292" s="40">
        <v>289</v>
      </c>
      <c r="E292" s="4">
        <v>3017</v>
      </c>
    </row>
    <row r="293" spans="1:5" x14ac:dyDescent="0.25">
      <c r="A293" s="40">
        <v>290</v>
      </c>
      <c r="E293" s="4">
        <v>3024</v>
      </c>
    </row>
    <row r="294" spans="1:5" x14ac:dyDescent="0.25">
      <c r="A294" s="40">
        <v>291</v>
      </c>
      <c r="E294" s="4">
        <v>3031</v>
      </c>
    </row>
    <row r="295" spans="1:5" x14ac:dyDescent="0.25">
      <c r="A295" s="40">
        <v>292</v>
      </c>
      <c r="E295" s="4">
        <v>3038</v>
      </c>
    </row>
    <row r="296" spans="1:5" x14ac:dyDescent="0.25">
      <c r="A296" s="40">
        <v>293</v>
      </c>
      <c r="E296" s="4">
        <v>3045</v>
      </c>
    </row>
    <row r="297" spans="1:5" x14ac:dyDescent="0.25">
      <c r="A297" s="40">
        <v>294</v>
      </c>
      <c r="E297" s="4">
        <v>3052</v>
      </c>
    </row>
    <row r="298" spans="1:5" x14ac:dyDescent="0.25">
      <c r="A298" s="40">
        <v>295</v>
      </c>
      <c r="E298" s="4">
        <v>3059</v>
      </c>
    </row>
    <row r="299" spans="1:5" x14ac:dyDescent="0.25">
      <c r="A299" s="40">
        <v>296</v>
      </c>
      <c r="E299" s="4">
        <v>3066</v>
      </c>
    </row>
    <row r="300" spans="1:5" x14ac:dyDescent="0.25">
      <c r="A300" s="40">
        <v>297</v>
      </c>
      <c r="E300" s="4">
        <v>3073</v>
      </c>
    </row>
    <row r="301" spans="1:5" x14ac:dyDescent="0.25">
      <c r="A301" s="40">
        <v>298</v>
      </c>
      <c r="E301" s="4">
        <v>3080</v>
      </c>
    </row>
    <row r="302" spans="1:5" x14ac:dyDescent="0.25">
      <c r="A302" s="40">
        <v>299</v>
      </c>
      <c r="E302" s="4">
        <v>3087</v>
      </c>
    </row>
    <row r="303" spans="1:5" x14ac:dyDescent="0.25">
      <c r="A303" s="40">
        <v>300</v>
      </c>
      <c r="E303" s="4">
        <v>3094</v>
      </c>
    </row>
  </sheetData>
  <mergeCells count="2">
    <mergeCell ref="A1:E1"/>
    <mergeCell ref="A2:E2"/>
  </mergeCells>
  <phoneticPr fontId="6" type="noConversion"/>
  <conditionalFormatting sqref="D4:D303">
    <cfRule type="cellIs" dxfId="54" priority="1" operator="equal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Day_workers_instant_money.Day_workers_instant_mone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_Day_Workers_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Voucher_Edito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2952-0485-4CAD-9A60-A292E81FA9C3}">
  <sheetPr codeName="Sheet5"/>
  <dimension ref="A1:DB304"/>
  <sheetViews>
    <sheetView zoomScale="85" zoomScaleNormal="85" workbookViewId="0">
      <pane xSplit="1" ySplit="4" topLeftCell="BW5" activePane="bottomRight" state="frozen"/>
      <selection pane="topRight" activeCell="B1" sqref="B1"/>
      <selection pane="bottomLeft" activeCell="A5" sqref="A5"/>
      <selection pane="bottomRight" activeCell="CV4" sqref="CV4"/>
    </sheetView>
  </sheetViews>
  <sheetFormatPr defaultColWidth="9.140625" defaultRowHeight="15" x14ac:dyDescent="0.25"/>
  <cols>
    <col min="1" max="1" width="8.140625" style="4" bestFit="1" customWidth="1"/>
    <col min="2" max="99" width="9.7109375" style="4" customWidth="1"/>
    <col min="100" max="101" width="13.85546875" style="4" customWidth="1"/>
    <col min="102" max="16384" width="9.140625" style="4"/>
  </cols>
  <sheetData>
    <row r="1" spans="1:106" ht="21" customHeight="1" x14ac:dyDescent="0.25">
      <c r="A1" s="61" t="s">
        <v>47</v>
      </c>
      <c r="B1" s="70" t="s">
        <v>3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 t="s">
        <v>4</v>
      </c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 t="s">
        <v>5</v>
      </c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 t="s">
        <v>6</v>
      </c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 t="s">
        <v>7</v>
      </c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 t="s">
        <v>38</v>
      </c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 t="s">
        <v>39</v>
      </c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5"/>
      <c r="CV1" s="77" t="s">
        <v>76</v>
      </c>
      <c r="CW1" s="78" t="s">
        <v>77</v>
      </c>
      <c r="DA1" s="73" t="s">
        <v>27</v>
      </c>
      <c r="DB1" s="74"/>
    </row>
    <row r="2" spans="1:106" ht="21" customHeight="1" x14ac:dyDescent="0.25">
      <c r="A2" s="61"/>
      <c r="B2" s="72" t="s">
        <v>33</v>
      </c>
      <c r="C2" s="61"/>
      <c r="D2" s="61" t="s">
        <v>34</v>
      </c>
      <c r="E2" s="61"/>
      <c r="F2" s="61" t="s">
        <v>35</v>
      </c>
      <c r="G2" s="61"/>
      <c r="H2" s="61" t="s">
        <v>36</v>
      </c>
      <c r="I2" s="61"/>
      <c r="J2" s="61" t="s">
        <v>30</v>
      </c>
      <c r="K2" s="61"/>
      <c r="L2" s="61" t="s">
        <v>31</v>
      </c>
      <c r="M2" s="61"/>
      <c r="N2" s="61" t="s">
        <v>32</v>
      </c>
      <c r="O2" s="61"/>
      <c r="P2" s="61" t="s">
        <v>33</v>
      </c>
      <c r="Q2" s="61"/>
      <c r="R2" s="61" t="s">
        <v>34</v>
      </c>
      <c r="S2" s="61"/>
      <c r="T2" s="61" t="s">
        <v>35</v>
      </c>
      <c r="U2" s="61"/>
      <c r="V2" s="61" t="s">
        <v>36</v>
      </c>
      <c r="W2" s="61"/>
      <c r="X2" s="61" t="s">
        <v>30</v>
      </c>
      <c r="Y2" s="61"/>
      <c r="Z2" s="61" t="s">
        <v>31</v>
      </c>
      <c r="AA2" s="61"/>
      <c r="AB2" s="61" t="s">
        <v>32</v>
      </c>
      <c r="AC2" s="61"/>
      <c r="AD2" s="61" t="s">
        <v>33</v>
      </c>
      <c r="AE2" s="61"/>
      <c r="AF2" s="61" t="s">
        <v>34</v>
      </c>
      <c r="AG2" s="61"/>
      <c r="AH2" s="61" t="s">
        <v>35</v>
      </c>
      <c r="AI2" s="61"/>
      <c r="AJ2" s="61" t="s">
        <v>36</v>
      </c>
      <c r="AK2" s="61"/>
      <c r="AL2" s="61" t="s">
        <v>30</v>
      </c>
      <c r="AM2" s="61"/>
      <c r="AN2" s="61" t="s">
        <v>31</v>
      </c>
      <c r="AO2" s="61"/>
      <c r="AP2" s="61" t="s">
        <v>32</v>
      </c>
      <c r="AQ2" s="61"/>
      <c r="AR2" s="61" t="s">
        <v>33</v>
      </c>
      <c r="AS2" s="61"/>
      <c r="AT2" s="61" t="s">
        <v>34</v>
      </c>
      <c r="AU2" s="61"/>
      <c r="AV2" s="61" t="s">
        <v>35</v>
      </c>
      <c r="AW2" s="61"/>
      <c r="AX2" s="61" t="s">
        <v>36</v>
      </c>
      <c r="AY2" s="61"/>
      <c r="AZ2" s="61" t="s">
        <v>30</v>
      </c>
      <c r="BA2" s="61"/>
      <c r="BB2" s="61" t="s">
        <v>31</v>
      </c>
      <c r="BC2" s="61"/>
      <c r="BD2" s="61" t="s">
        <v>32</v>
      </c>
      <c r="BE2" s="61"/>
      <c r="BF2" s="61" t="s">
        <v>33</v>
      </c>
      <c r="BG2" s="61"/>
      <c r="BH2" s="61" t="s">
        <v>34</v>
      </c>
      <c r="BI2" s="61"/>
      <c r="BJ2" s="61" t="s">
        <v>35</v>
      </c>
      <c r="BK2" s="61"/>
      <c r="BL2" s="61" t="s">
        <v>36</v>
      </c>
      <c r="BM2" s="61"/>
      <c r="BN2" s="61" t="s">
        <v>30</v>
      </c>
      <c r="BO2" s="61"/>
      <c r="BP2" s="61" t="s">
        <v>31</v>
      </c>
      <c r="BQ2" s="61"/>
      <c r="BR2" s="61" t="s">
        <v>32</v>
      </c>
      <c r="BS2" s="61"/>
      <c r="BT2" s="61" t="s">
        <v>33</v>
      </c>
      <c r="BU2" s="61"/>
      <c r="BV2" s="61" t="s">
        <v>34</v>
      </c>
      <c r="BW2" s="61"/>
      <c r="BX2" s="61" t="s">
        <v>35</v>
      </c>
      <c r="BY2" s="61"/>
      <c r="BZ2" s="61" t="s">
        <v>36</v>
      </c>
      <c r="CA2" s="61"/>
      <c r="CB2" s="61" t="s">
        <v>30</v>
      </c>
      <c r="CC2" s="61"/>
      <c r="CD2" s="61" t="s">
        <v>31</v>
      </c>
      <c r="CE2" s="61"/>
      <c r="CF2" s="61" t="s">
        <v>32</v>
      </c>
      <c r="CG2" s="61"/>
      <c r="CH2" s="61" t="s">
        <v>33</v>
      </c>
      <c r="CI2" s="61"/>
      <c r="CJ2" s="61" t="s">
        <v>34</v>
      </c>
      <c r="CK2" s="61"/>
      <c r="CL2" s="61" t="s">
        <v>35</v>
      </c>
      <c r="CM2" s="61"/>
      <c r="CN2" s="61" t="s">
        <v>36</v>
      </c>
      <c r="CO2" s="61"/>
      <c r="CP2" s="61" t="s">
        <v>30</v>
      </c>
      <c r="CQ2" s="61"/>
      <c r="CR2" s="61" t="s">
        <v>31</v>
      </c>
      <c r="CS2" s="61"/>
      <c r="CT2" s="61" t="s">
        <v>32</v>
      </c>
      <c r="CU2" s="68"/>
      <c r="CV2" s="77"/>
      <c r="CW2" s="78"/>
      <c r="DA2" s="75"/>
      <c r="DB2" s="76"/>
    </row>
    <row r="3" spans="1:106" ht="21" customHeight="1" x14ac:dyDescent="0.25">
      <c r="A3" s="61"/>
      <c r="B3" s="71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6"/>
      <c r="CV3" s="77"/>
      <c r="CW3" s="78"/>
    </row>
    <row r="4" spans="1:106" x14ac:dyDescent="0.25">
      <c r="A4" s="42" t="s">
        <v>8</v>
      </c>
      <c r="B4" s="37" t="s">
        <v>22</v>
      </c>
      <c r="C4" s="19" t="s">
        <v>23</v>
      </c>
      <c r="D4" s="19" t="s">
        <v>22</v>
      </c>
      <c r="E4" s="19" t="s">
        <v>23</v>
      </c>
      <c r="F4" s="19" t="s">
        <v>22</v>
      </c>
      <c r="G4" s="19" t="s">
        <v>23</v>
      </c>
      <c r="H4" s="19" t="s">
        <v>22</v>
      </c>
      <c r="I4" s="19" t="s">
        <v>23</v>
      </c>
      <c r="J4" s="19" t="s">
        <v>22</v>
      </c>
      <c r="K4" s="19" t="s">
        <v>23</v>
      </c>
      <c r="L4" s="19" t="s">
        <v>22</v>
      </c>
      <c r="M4" s="19" t="s">
        <v>23</v>
      </c>
      <c r="N4" s="19" t="s">
        <v>22</v>
      </c>
      <c r="O4" s="19" t="s">
        <v>23</v>
      </c>
      <c r="P4" s="19" t="s">
        <v>22</v>
      </c>
      <c r="Q4" s="19" t="s">
        <v>23</v>
      </c>
      <c r="R4" s="19" t="s">
        <v>22</v>
      </c>
      <c r="S4" s="19" t="s">
        <v>23</v>
      </c>
      <c r="T4" s="19" t="s">
        <v>22</v>
      </c>
      <c r="U4" s="19" t="s">
        <v>23</v>
      </c>
      <c r="V4" s="19" t="s">
        <v>22</v>
      </c>
      <c r="W4" s="19" t="s">
        <v>23</v>
      </c>
      <c r="X4" s="19" t="s">
        <v>22</v>
      </c>
      <c r="Y4" s="19" t="s">
        <v>23</v>
      </c>
      <c r="Z4" s="19" t="s">
        <v>22</v>
      </c>
      <c r="AA4" s="19" t="s">
        <v>23</v>
      </c>
      <c r="AB4" s="19" t="s">
        <v>22</v>
      </c>
      <c r="AC4" s="19" t="s">
        <v>23</v>
      </c>
      <c r="AD4" s="19" t="s">
        <v>22</v>
      </c>
      <c r="AE4" s="19" t="s">
        <v>23</v>
      </c>
      <c r="AF4" s="19" t="s">
        <v>22</v>
      </c>
      <c r="AG4" s="19" t="s">
        <v>23</v>
      </c>
      <c r="AH4" s="19" t="s">
        <v>22</v>
      </c>
      <c r="AI4" s="19" t="s">
        <v>23</v>
      </c>
      <c r="AJ4" s="19" t="s">
        <v>22</v>
      </c>
      <c r="AK4" s="19" t="s">
        <v>23</v>
      </c>
      <c r="AL4" s="19" t="s">
        <v>22</v>
      </c>
      <c r="AM4" s="19" t="s">
        <v>23</v>
      </c>
      <c r="AN4" s="19" t="s">
        <v>22</v>
      </c>
      <c r="AO4" s="19" t="s">
        <v>23</v>
      </c>
      <c r="AP4" s="19" t="s">
        <v>22</v>
      </c>
      <c r="AQ4" s="19" t="s">
        <v>23</v>
      </c>
      <c r="AR4" s="19" t="s">
        <v>22</v>
      </c>
      <c r="AS4" s="19" t="s">
        <v>23</v>
      </c>
      <c r="AT4" s="19" t="s">
        <v>22</v>
      </c>
      <c r="AU4" s="19" t="s">
        <v>23</v>
      </c>
      <c r="AV4" s="19" t="s">
        <v>22</v>
      </c>
      <c r="AW4" s="19" t="s">
        <v>23</v>
      </c>
      <c r="AX4" s="19" t="s">
        <v>22</v>
      </c>
      <c r="AY4" s="19" t="s">
        <v>23</v>
      </c>
      <c r="AZ4" s="19" t="s">
        <v>22</v>
      </c>
      <c r="BA4" s="19" t="s">
        <v>23</v>
      </c>
      <c r="BB4" s="19" t="s">
        <v>22</v>
      </c>
      <c r="BC4" s="19" t="s">
        <v>23</v>
      </c>
      <c r="BD4" s="19" t="s">
        <v>22</v>
      </c>
      <c r="BE4" s="19" t="s">
        <v>23</v>
      </c>
      <c r="BF4" s="19" t="s">
        <v>22</v>
      </c>
      <c r="BG4" s="19" t="s">
        <v>23</v>
      </c>
      <c r="BH4" s="19" t="s">
        <v>22</v>
      </c>
      <c r="BI4" s="19" t="s">
        <v>23</v>
      </c>
      <c r="BJ4" s="19" t="s">
        <v>22</v>
      </c>
      <c r="BK4" s="19" t="s">
        <v>23</v>
      </c>
      <c r="BL4" s="19" t="s">
        <v>22</v>
      </c>
      <c r="BM4" s="19" t="s">
        <v>23</v>
      </c>
      <c r="BN4" s="19" t="s">
        <v>22</v>
      </c>
      <c r="BO4" s="19" t="s">
        <v>23</v>
      </c>
      <c r="BP4" s="19" t="s">
        <v>22</v>
      </c>
      <c r="BQ4" s="19" t="s">
        <v>23</v>
      </c>
      <c r="BR4" s="19" t="s">
        <v>22</v>
      </c>
      <c r="BS4" s="19" t="s">
        <v>23</v>
      </c>
      <c r="BT4" s="19" t="s">
        <v>22</v>
      </c>
      <c r="BU4" s="19" t="s">
        <v>23</v>
      </c>
      <c r="BV4" s="19" t="s">
        <v>22</v>
      </c>
      <c r="BW4" s="19" t="s">
        <v>23</v>
      </c>
      <c r="BX4" s="19" t="s">
        <v>22</v>
      </c>
      <c r="BY4" s="19" t="s">
        <v>23</v>
      </c>
      <c r="BZ4" s="19" t="s">
        <v>22</v>
      </c>
      <c r="CA4" s="19" t="s">
        <v>23</v>
      </c>
      <c r="CB4" s="19" t="s">
        <v>22</v>
      </c>
      <c r="CC4" s="19" t="s">
        <v>23</v>
      </c>
      <c r="CD4" s="19" t="s">
        <v>22</v>
      </c>
      <c r="CE4" s="19" t="s">
        <v>23</v>
      </c>
      <c r="CF4" s="19" t="s">
        <v>22</v>
      </c>
      <c r="CG4" s="19" t="s">
        <v>23</v>
      </c>
      <c r="CH4" s="19" t="s">
        <v>22</v>
      </c>
      <c r="CI4" s="19" t="s">
        <v>23</v>
      </c>
      <c r="CJ4" s="19" t="s">
        <v>22</v>
      </c>
      <c r="CK4" s="19" t="s">
        <v>23</v>
      </c>
      <c r="CL4" s="19" t="s">
        <v>22</v>
      </c>
      <c r="CM4" s="19" t="s">
        <v>23</v>
      </c>
      <c r="CN4" s="19" t="s">
        <v>22</v>
      </c>
      <c r="CO4" s="19" t="s">
        <v>23</v>
      </c>
      <c r="CP4" s="19" t="s">
        <v>22</v>
      </c>
      <c r="CQ4" s="19" t="s">
        <v>23</v>
      </c>
      <c r="CR4" s="19" t="s">
        <v>22</v>
      </c>
      <c r="CS4" s="19" t="s">
        <v>23</v>
      </c>
      <c r="CT4" s="19" t="s">
        <v>22</v>
      </c>
      <c r="CU4" s="22" t="s">
        <v>23</v>
      </c>
      <c r="CV4" s="26">
        <f>SUM(CV5:INDEX(CV:CV,ROWS(CV:CV)))</f>
        <v>1</v>
      </c>
      <c r="CW4" s="26">
        <f>SUM(CW5:INDEX(CW:CW,ROWS(CW:CW)))</f>
        <v>1</v>
      </c>
    </row>
    <row r="5" spans="1:106" x14ac:dyDescent="0.25">
      <c r="A5" s="45">
        <v>1</v>
      </c>
      <c r="B5" s="3">
        <v>1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19" cm="1">
        <f t="array" ref="CV5">SUM(IF(MOD(COLUMN(B5:CU5),2)=0,B5:CU5,0))</f>
        <v>1</v>
      </c>
      <c r="CW5" s="38" cm="1">
        <f t="array" ref="CW5">SUM(IF(MOD(COLUMN(B5:CU5),2)=1,B5:CU5,0))</f>
        <v>0</v>
      </c>
    </row>
    <row r="6" spans="1:106" x14ac:dyDescent="0.25">
      <c r="A6" s="45">
        <v>2</v>
      </c>
      <c r="B6" s="3"/>
      <c r="C6" s="3">
        <v>1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19">
        <f t="array" ref="CV6">SUM(IF(MOD(COLUMN(B6:CU6),2)=0,B6:CU6,0))</f>
        <v>0</v>
      </c>
      <c r="CW6" s="38">
        <f t="array" ref="CW6">SUM(IF(MOD(COLUMN(B6:CU6),2)=1,B6:CU6,0))</f>
        <v>1</v>
      </c>
    </row>
    <row r="7" spans="1:106" x14ac:dyDescent="0.25">
      <c r="A7" s="45">
        <v>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19">
        <f t="array" ref="CV7">SUM(IF(MOD(COLUMN(B7:CU7),2)=0,B7:CU7,0))</f>
        <v>0</v>
      </c>
      <c r="CW7" s="38">
        <f t="array" ref="CW7">SUM(IF(MOD(COLUMN(B7:CU7),2)=1,B7:CU7,0))</f>
        <v>0</v>
      </c>
    </row>
    <row r="8" spans="1:106" x14ac:dyDescent="0.25">
      <c r="A8" s="45">
        <v>4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19">
        <f t="array" ref="CV8">SUM(IF(MOD(COLUMN(B8:CU8),2)=0,B8:CU8,0))</f>
        <v>0</v>
      </c>
      <c r="CW8" s="38">
        <f t="array" ref="CW8">SUM(IF(MOD(COLUMN(B8:CU8),2)=1,B8:CU8,0))</f>
        <v>0</v>
      </c>
    </row>
    <row r="9" spans="1:106" x14ac:dyDescent="0.25">
      <c r="A9" s="45">
        <v>5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19">
        <f t="array" ref="CV9">SUM(IF(MOD(COLUMN(B9:CU9),2)=0,B9:CU9,0))</f>
        <v>0</v>
      </c>
      <c r="CW9" s="38">
        <f t="array" ref="CW9">SUM(IF(MOD(COLUMN(B9:CU9),2)=1,B9:CU9,0))</f>
        <v>0</v>
      </c>
    </row>
    <row r="10" spans="1:106" x14ac:dyDescent="0.25">
      <c r="A10" s="45">
        <v>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19">
        <f t="array" ref="CV10">SUM(IF(MOD(COLUMN(B10:CU10),2)=0,B10:CU10,0))</f>
        <v>0</v>
      </c>
      <c r="CW10" s="38">
        <f t="array" ref="CW10">SUM(IF(MOD(COLUMN(B10:CU10),2)=1,B10:CU10,0))</f>
        <v>0</v>
      </c>
    </row>
    <row r="11" spans="1:106" x14ac:dyDescent="0.25">
      <c r="A11" s="45">
        <v>7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19">
        <f t="array" ref="CV11">SUM(IF(MOD(COLUMN(B11:CU11),2)=0,B11:CU11,0))</f>
        <v>0</v>
      </c>
      <c r="CW11" s="38">
        <f t="array" ref="CW11">SUM(IF(MOD(COLUMN(B11:CU11),2)=1,B11:CU11,0))</f>
        <v>0</v>
      </c>
    </row>
    <row r="12" spans="1:106" x14ac:dyDescent="0.25">
      <c r="A12" s="45">
        <v>8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19">
        <f t="array" ref="CV12">SUM(IF(MOD(COLUMN(B12:CU12),2)=0,B12:CU12,0))</f>
        <v>0</v>
      </c>
      <c r="CW12" s="38">
        <f t="array" ref="CW12">SUM(IF(MOD(COLUMN(B12:CU12),2)=1,B12:CU12,0))</f>
        <v>0</v>
      </c>
    </row>
    <row r="13" spans="1:106" x14ac:dyDescent="0.25">
      <c r="A13" s="45">
        <v>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19">
        <f t="array" ref="CV13">SUM(IF(MOD(COLUMN(B13:CU13),2)=0,B13:CU13,0))</f>
        <v>0</v>
      </c>
      <c r="CW13" s="38">
        <f t="array" ref="CW13">SUM(IF(MOD(COLUMN(B13:CU13),2)=1,B13:CU13,0))</f>
        <v>0</v>
      </c>
    </row>
    <row r="14" spans="1:106" x14ac:dyDescent="0.25">
      <c r="A14" s="45">
        <v>10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19">
        <f t="array" ref="CV14">SUM(IF(MOD(COLUMN(B14:CU14),2)=0,B14:CU14,0))</f>
        <v>0</v>
      </c>
      <c r="CW14" s="38">
        <f t="array" ref="CW14">SUM(IF(MOD(COLUMN(B14:CU14),2)=1,B14:CU14,0))</f>
        <v>0</v>
      </c>
    </row>
    <row r="15" spans="1:106" x14ac:dyDescent="0.25">
      <c r="A15" s="45">
        <v>11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19">
        <f t="array" ref="CV15">SUM(IF(MOD(COLUMN(B15:CU15),2)=0,B15:CU15,0))</f>
        <v>0</v>
      </c>
      <c r="CW15" s="38">
        <f t="array" ref="CW15">SUM(IF(MOD(COLUMN(B15:CU15),2)=1,B15:CU15,0))</f>
        <v>0</v>
      </c>
    </row>
    <row r="16" spans="1:106" x14ac:dyDescent="0.25">
      <c r="A16" s="45">
        <v>12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19">
        <f t="array" ref="CV16">SUM(IF(MOD(COLUMN(B16:CU16),2)=0,B16:CU16,0))</f>
        <v>0</v>
      </c>
      <c r="CW16" s="38">
        <f t="array" ref="CW16">SUM(IF(MOD(COLUMN(B16:CU16),2)=1,B16:CU16,0))</f>
        <v>0</v>
      </c>
    </row>
    <row r="17" spans="1:101" x14ac:dyDescent="0.25">
      <c r="A17" s="45">
        <v>13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19">
        <f t="array" ref="CV17">SUM(IF(MOD(COLUMN(B17:CU17),2)=0,B17:CU17,0))</f>
        <v>0</v>
      </c>
      <c r="CW17" s="38">
        <f t="array" ref="CW17">SUM(IF(MOD(COLUMN(B17:CU17),2)=1,B17:CU17,0))</f>
        <v>0</v>
      </c>
    </row>
    <row r="18" spans="1:101" x14ac:dyDescent="0.25">
      <c r="A18" s="45">
        <v>14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19">
        <f t="array" ref="CV18">SUM(IF(MOD(COLUMN(B18:CU18),2)=0,B18:CU18,0))</f>
        <v>0</v>
      </c>
      <c r="CW18" s="38">
        <f t="array" ref="CW18">SUM(IF(MOD(COLUMN(B18:CU18),2)=1,B18:CU18,0))</f>
        <v>0</v>
      </c>
    </row>
    <row r="19" spans="1:101" x14ac:dyDescent="0.25">
      <c r="A19" s="45">
        <v>15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19">
        <f t="array" ref="CV19">SUM(IF(MOD(COLUMN(B19:CU19),2)=0,B19:CU19,0))</f>
        <v>0</v>
      </c>
      <c r="CW19" s="38">
        <f t="array" ref="CW19">SUM(IF(MOD(COLUMN(B19:CU19),2)=1,B19:CU19,0))</f>
        <v>0</v>
      </c>
    </row>
    <row r="20" spans="1:101" x14ac:dyDescent="0.25">
      <c r="A20" s="45">
        <v>16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19">
        <f t="array" ref="CV20">SUM(IF(MOD(COLUMN(B20:CU20),2)=0,B20:CU20,0))</f>
        <v>0</v>
      </c>
      <c r="CW20" s="38">
        <f t="array" ref="CW20">SUM(IF(MOD(COLUMN(B20:CU20),2)=1,B20:CU20,0))</f>
        <v>0</v>
      </c>
    </row>
    <row r="21" spans="1:101" x14ac:dyDescent="0.25">
      <c r="A21" s="45">
        <v>17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19">
        <f t="array" ref="CV21">SUM(IF(MOD(COLUMN(B21:CU21),2)=0,B21:CU21,0))</f>
        <v>0</v>
      </c>
      <c r="CW21" s="38">
        <f t="array" ref="CW21">SUM(IF(MOD(COLUMN(B21:CU21),2)=1,B21:CU21,0))</f>
        <v>0</v>
      </c>
    </row>
    <row r="22" spans="1:101" x14ac:dyDescent="0.25">
      <c r="A22" s="45">
        <v>18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19">
        <f t="array" ref="CV22">SUM(IF(MOD(COLUMN(B22:CU22),2)=0,B22:CU22,0))</f>
        <v>0</v>
      </c>
      <c r="CW22" s="38">
        <f t="array" ref="CW22">SUM(IF(MOD(COLUMN(B22:CU22),2)=1,B22:CU22,0))</f>
        <v>0</v>
      </c>
    </row>
    <row r="23" spans="1:101" x14ac:dyDescent="0.25">
      <c r="A23" s="45">
        <v>19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19">
        <f t="array" ref="CV23">SUM(IF(MOD(COLUMN(B23:CU23),2)=0,B23:CU23,0))</f>
        <v>0</v>
      </c>
      <c r="CW23" s="38">
        <f t="array" ref="CW23">SUM(IF(MOD(COLUMN(B23:CU23),2)=1,B23:CU23,0))</f>
        <v>0</v>
      </c>
    </row>
    <row r="24" spans="1:101" x14ac:dyDescent="0.25">
      <c r="A24" s="45">
        <v>20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19">
        <f t="array" ref="CV24">SUM(IF(MOD(COLUMN(B24:CU24),2)=0,B24:CU24,0))</f>
        <v>0</v>
      </c>
      <c r="CW24" s="38">
        <f t="array" ref="CW24">SUM(IF(MOD(COLUMN(B24:CU24),2)=1,B24:CU24,0))</f>
        <v>0</v>
      </c>
    </row>
    <row r="25" spans="1:101" x14ac:dyDescent="0.25">
      <c r="A25" s="45">
        <v>21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19">
        <f t="array" ref="CV25">SUM(IF(MOD(COLUMN(B25:CU25),2)=0,B25:CU25,0))</f>
        <v>0</v>
      </c>
      <c r="CW25" s="38">
        <f t="array" ref="CW25">SUM(IF(MOD(COLUMN(B25:CU25),2)=1,B25:CU25,0))</f>
        <v>0</v>
      </c>
    </row>
    <row r="26" spans="1:101" x14ac:dyDescent="0.25">
      <c r="A26" s="45">
        <v>22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19">
        <f t="array" ref="CV26">SUM(IF(MOD(COLUMN(B26:CU26),2)=0,B26:CU26,0))</f>
        <v>0</v>
      </c>
      <c r="CW26" s="38">
        <f t="array" ref="CW26">SUM(IF(MOD(COLUMN(B26:CU26),2)=1,B26:CU26,0))</f>
        <v>0</v>
      </c>
    </row>
    <row r="27" spans="1:101" x14ac:dyDescent="0.25">
      <c r="A27" s="45">
        <v>23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19">
        <f t="array" ref="CV27">SUM(IF(MOD(COLUMN(B27:CU27),2)=0,B27:CU27,0))</f>
        <v>0</v>
      </c>
      <c r="CW27" s="38">
        <f t="array" ref="CW27">SUM(IF(MOD(COLUMN(B27:CU27),2)=1,B27:CU27,0))</f>
        <v>0</v>
      </c>
    </row>
    <row r="28" spans="1:101" x14ac:dyDescent="0.25">
      <c r="A28" s="45">
        <v>24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19">
        <f t="array" ref="CV28">SUM(IF(MOD(COLUMN(B28:CU28),2)=0,B28:CU28,0))</f>
        <v>0</v>
      </c>
      <c r="CW28" s="38">
        <f t="array" ref="CW28">SUM(IF(MOD(COLUMN(B28:CU28),2)=1,B28:CU28,0))</f>
        <v>0</v>
      </c>
    </row>
    <row r="29" spans="1:101" x14ac:dyDescent="0.25">
      <c r="A29" s="45">
        <v>25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19">
        <f t="array" ref="CV29">SUM(IF(MOD(COLUMN(B29:CU29),2)=0,B29:CU29,0))</f>
        <v>0</v>
      </c>
      <c r="CW29" s="38">
        <f t="array" ref="CW29">SUM(IF(MOD(COLUMN(B29:CU29),2)=1,B29:CU29,0))</f>
        <v>0</v>
      </c>
    </row>
    <row r="30" spans="1:101" x14ac:dyDescent="0.25">
      <c r="A30" s="45">
        <v>26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19">
        <f t="array" ref="CV30">SUM(IF(MOD(COLUMN(B30:CU30),2)=0,B30:CU30,0))</f>
        <v>0</v>
      </c>
      <c r="CW30" s="38">
        <f t="array" ref="CW30">SUM(IF(MOD(COLUMN(B30:CU30),2)=1,B30:CU30,0))</f>
        <v>0</v>
      </c>
    </row>
    <row r="31" spans="1:101" x14ac:dyDescent="0.25">
      <c r="A31" s="45">
        <v>27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19">
        <f t="array" ref="CV31">SUM(IF(MOD(COLUMN(B31:CU31),2)=0,B31:CU31,0))</f>
        <v>0</v>
      </c>
      <c r="CW31" s="38">
        <f t="array" ref="CW31">SUM(IF(MOD(COLUMN(B31:CU31),2)=1,B31:CU31,0))</f>
        <v>0</v>
      </c>
    </row>
    <row r="32" spans="1:101" x14ac:dyDescent="0.25">
      <c r="A32" s="45">
        <v>28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19">
        <f t="array" ref="CV32">SUM(IF(MOD(COLUMN(B32:CU32),2)=0,B32:CU32,0))</f>
        <v>0</v>
      </c>
      <c r="CW32" s="38">
        <f t="array" ref="CW32">SUM(IF(MOD(COLUMN(B32:CU32),2)=1,B32:CU32,0))</f>
        <v>0</v>
      </c>
    </row>
    <row r="33" spans="1:101" x14ac:dyDescent="0.25">
      <c r="A33" s="45">
        <v>29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19">
        <f t="array" ref="CV33">SUM(IF(MOD(COLUMN(B33:CU33),2)=0,B33:CU33,0))</f>
        <v>0</v>
      </c>
      <c r="CW33" s="38">
        <f t="array" ref="CW33">SUM(IF(MOD(COLUMN(B33:CU33),2)=1,B33:CU33,0))</f>
        <v>0</v>
      </c>
    </row>
    <row r="34" spans="1:101" x14ac:dyDescent="0.25">
      <c r="A34" s="45">
        <v>30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19">
        <f t="array" ref="CV34">SUM(IF(MOD(COLUMN(B34:CU34),2)=0,B34:CU34,0))</f>
        <v>0</v>
      </c>
      <c r="CW34" s="38">
        <f t="array" ref="CW34">SUM(IF(MOD(COLUMN(B34:CU34),2)=1,B34:CU34,0))</f>
        <v>0</v>
      </c>
    </row>
    <row r="35" spans="1:101" x14ac:dyDescent="0.25">
      <c r="A35" s="45">
        <v>31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19">
        <f t="array" ref="CV35">SUM(IF(MOD(COLUMN(B35:CU35),2)=0,B35:CU35,0))</f>
        <v>0</v>
      </c>
      <c r="CW35" s="38">
        <f t="array" ref="CW35">SUM(IF(MOD(COLUMN(B35:CU35),2)=1,B35:CU35,0))</f>
        <v>0</v>
      </c>
    </row>
    <row r="36" spans="1:101" x14ac:dyDescent="0.25">
      <c r="A36" s="45">
        <v>32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19">
        <f t="array" ref="CV36">SUM(IF(MOD(COLUMN(B36:CU36),2)=0,B36:CU36,0))</f>
        <v>0</v>
      </c>
      <c r="CW36" s="38">
        <f t="array" ref="CW36">SUM(IF(MOD(COLUMN(B36:CU36),2)=1,B36:CU36,0))</f>
        <v>0</v>
      </c>
    </row>
    <row r="37" spans="1:101" x14ac:dyDescent="0.25">
      <c r="A37" s="45">
        <v>33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19">
        <f t="array" ref="CV37">SUM(IF(MOD(COLUMN(B37:CU37),2)=0,B37:CU37,0))</f>
        <v>0</v>
      </c>
      <c r="CW37" s="38">
        <f t="array" ref="CW37">SUM(IF(MOD(COLUMN(B37:CU37),2)=1,B37:CU37,0))</f>
        <v>0</v>
      </c>
    </row>
    <row r="38" spans="1:101" x14ac:dyDescent="0.25">
      <c r="A38" s="45">
        <v>34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19">
        <f t="array" ref="CV38">SUM(IF(MOD(COLUMN(B38:CU38),2)=0,B38:CU38,0))</f>
        <v>0</v>
      </c>
      <c r="CW38" s="38">
        <f t="array" ref="CW38">SUM(IF(MOD(COLUMN(B38:CU38),2)=1,B38:CU38,0))</f>
        <v>0</v>
      </c>
    </row>
    <row r="39" spans="1:101" x14ac:dyDescent="0.25">
      <c r="A39" s="45">
        <v>35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19">
        <f t="array" ref="CV39">SUM(IF(MOD(COLUMN(B39:CU39),2)=0,B39:CU39,0))</f>
        <v>0</v>
      </c>
      <c r="CW39" s="38">
        <f t="array" ref="CW39">SUM(IF(MOD(COLUMN(B39:CU39),2)=1,B39:CU39,0))</f>
        <v>0</v>
      </c>
    </row>
    <row r="40" spans="1:101" x14ac:dyDescent="0.25">
      <c r="A40" s="45">
        <v>36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19">
        <f t="array" ref="CV40">SUM(IF(MOD(COLUMN(B40:CU40),2)=0,B40:CU40,0))</f>
        <v>0</v>
      </c>
      <c r="CW40" s="38">
        <f t="array" ref="CW40">SUM(IF(MOD(COLUMN(B40:CU40),2)=1,B40:CU40,0))</f>
        <v>0</v>
      </c>
    </row>
    <row r="41" spans="1:101" x14ac:dyDescent="0.25">
      <c r="A41" s="45">
        <v>37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19">
        <f t="array" ref="CV41">SUM(IF(MOD(COLUMN(B41:CU41),2)=0,B41:CU41,0))</f>
        <v>0</v>
      </c>
      <c r="CW41" s="38">
        <f t="array" ref="CW41">SUM(IF(MOD(COLUMN(B41:CU41),2)=1,B41:CU41,0))</f>
        <v>0</v>
      </c>
    </row>
    <row r="42" spans="1:101" x14ac:dyDescent="0.25">
      <c r="A42" s="45">
        <v>38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19">
        <f t="array" ref="CV42">SUM(IF(MOD(COLUMN(B42:CU42),2)=0,B42:CU42,0))</f>
        <v>0</v>
      </c>
      <c r="CW42" s="38">
        <f t="array" ref="CW42">SUM(IF(MOD(COLUMN(B42:CU42),2)=1,B42:CU42,0))</f>
        <v>0</v>
      </c>
    </row>
    <row r="43" spans="1:101" x14ac:dyDescent="0.25">
      <c r="A43" s="45">
        <v>39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19">
        <f t="array" ref="CV43">SUM(IF(MOD(COLUMN(B43:CU43),2)=0,B43:CU43,0))</f>
        <v>0</v>
      </c>
      <c r="CW43" s="38">
        <f t="array" ref="CW43">SUM(IF(MOD(COLUMN(B43:CU43),2)=1,B43:CU43,0))</f>
        <v>0</v>
      </c>
    </row>
    <row r="44" spans="1:101" x14ac:dyDescent="0.25">
      <c r="A44" s="45">
        <v>40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19">
        <f t="array" ref="CV44">SUM(IF(MOD(COLUMN(B44:CU44),2)=0,B44:CU44,0))</f>
        <v>0</v>
      </c>
      <c r="CW44" s="38">
        <f t="array" ref="CW44">SUM(IF(MOD(COLUMN(B44:CU44),2)=1,B44:CU44,0))</f>
        <v>0</v>
      </c>
    </row>
    <row r="45" spans="1:101" x14ac:dyDescent="0.25">
      <c r="A45" s="45">
        <v>41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19">
        <f t="array" ref="CV45">SUM(IF(MOD(COLUMN(B45:CU45),2)=0,B45:CU45,0))</f>
        <v>0</v>
      </c>
      <c r="CW45" s="38">
        <f t="array" ref="CW45">SUM(IF(MOD(COLUMN(B45:CU45),2)=1,B45:CU45,0))</f>
        <v>0</v>
      </c>
    </row>
    <row r="46" spans="1:101" x14ac:dyDescent="0.25">
      <c r="A46" s="45">
        <v>42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19">
        <f t="array" ref="CV46">SUM(IF(MOD(COLUMN(B46:CU46),2)=0,B46:CU46,0))</f>
        <v>0</v>
      </c>
      <c r="CW46" s="38">
        <f t="array" ref="CW46">SUM(IF(MOD(COLUMN(B46:CU46),2)=1,B46:CU46,0))</f>
        <v>0</v>
      </c>
    </row>
    <row r="47" spans="1:101" x14ac:dyDescent="0.25">
      <c r="A47" s="45">
        <v>43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19">
        <f t="array" ref="CV47">SUM(IF(MOD(COLUMN(B47:CU47),2)=0,B47:CU47,0))</f>
        <v>0</v>
      </c>
      <c r="CW47" s="38">
        <f t="array" ref="CW47">SUM(IF(MOD(COLUMN(B47:CU47),2)=1,B47:CU47,0))</f>
        <v>0</v>
      </c>
    </row>
    <row r="48" spans="1:101" x14ac:dyDescent="0.25">
      <c r="A48" s="45">
        <v>44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19">
        <f t="array" ref="CV48">SUM(IF(MOD(COLUMN(B48:CU48),2)=0,B48:CU48,0))</f>
        <v>0</v>
      </c>
      <c r="CW48" s="38">
        <f t="array" ref="CW48">SUM(IF(MOD(COLUMN(B48:CU48),2)=1,B48:CU48,0))</f>
        <v>0</v>
      </c>
    </row>
    <row r="49" spans="1:101" x14ac:dyDescent="0.25">
      <c r="A49" s="45">
        <v>45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19">
        <f t="array" ref="CV49">SUM(IF(MOD(COLUMN(B49:CU49),2)=0,B49:CU49,0))</f>
        <v>0</v>
      </c>
      <c r="CW49" s="38">
        <f t="array" ref="CW49">SUM(IF(MOD(COLUMN(B49:CU49),2)=1,B49:CU49,0))</f>
        <v>0</v>
      </c>
    </row>
    <row r="50" spans="1:101" x14ac:dyDescent="0.25">
      <c r="A50" s="45">
        <v>46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19">
        <f t="array" ref="CV50">SUM(IF(MOD(COLUMN(B50:CU50),2)=0,B50:CU50,0))</f>
        <v>0</v>
      </c>
      <c r="CW50" s="38">
        <f t="array" ref="CW50">SUM(IF(MOD(COLUMN(B50:CU50),2)=1,B50:CU50,0))</f>
        <v>0</v>
      </c>
    </row>
    <row r="51" spans="1:101" x14ac:dyDescent="0.25">
      <c r="A51" s="45">
        <v>47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19">
        <f t="array" ref="CV51">SUM(IF(MOD(COLUMN(B51:CU51),2)=0,B51:CU51,0))</f>
        <v>0</v>
      </c>
      <c r="CW51" s="38">
        <f t="array" ref="CW51">SUM(IF(MOD(COLUMN(B51:CU51),2)=1,B51:CU51,0))</f>
        <v>0</v>
      </c>
    </row>
    <row r="52" spans="1:101" x14ac:dyDescent="0.25">
      <c r="A52" s="45">
        <v>48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19">
        <f t="array" ref="CV52">SUM(IF(MOD(COLUMN(B52:CU52),2)=0,B52:CU52,0))</f>
        <v>0</v>
      </c>
      <c r="CW52" s="38">
        <f t="array" ref="CW52">SUM(IF(MOD(COLUMN(B52:CU52),2)=1,B52:CU52,0))</f>
        <v>0</v>
      </c>
    </row>
    <row r="53" spans="1:101" x14ac:dyDescent="0.25">
      <c r="A53" s="45">
        <v>49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19">
        <f t="array" ref="CV53">SUM(IF(MOD(COLUMN(B53:CU53),2)=0,B53:CU53,0))</f>
        <v>0</v>
      </c>
      <c r="CW53" s="38">
        <f t="array" ref="CW53">SUM(IF(MOD(COLUMN(B53:CU53),2)=1,B53:CU53,0))</f>
        <v>0</v>
      </c>
    </row>
    <row r="54" spans="1:101" x14ac:dyDescent="0.25">
      <c r="A54" s="45">
        <v>50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19">
        <f t="array" ref="CV54">SUM(IF(MOD(COLUMN(B54:CU54),2)=0,B54:CU54,0))</f>
        <v>0</v>
      </c>
      <c r="CW54" s="38">
        <f t="array" ref="CW54">SUM(IF(MOD(COLUMN(B54:CU54),2)=1,B54:CU54,0))</f>
        <v>0</v>
      </c>
    </row>
    <row r="55" spans="1:101" x14ac:dyDescent="0.25">
      <c r="A55" s="45">
        <v>51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19">
        <f t="array" ref="CV55">SUM(IF(MOD(COLUMN(B55:CU55),2)=0,B55:CU55,0))</f>
        <v>0</v>
      </c>
      <c r="CW55" s="38">
        <f t="array" ref="CW55">SUM(IF(MOD(COLUMN(B55:CU55),2)=1,B55:CU55,0))</f>
        <v>0</v>
      </c>
    </row>
    <row r="56" spans="1:101" x14ac:dyDescent="0.25">
      <c r="A56" s="45">
        <v>52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19">
        <f t="array" ref="CV56">SUM(IF(MOD(COLUMN(B56:CU56),2)=0,B56:CU56,0))</f>
        <v>0</v>
      </c>
      <c r="CW56" s="38">
        <f t="array" ref="CW56">SUM(IF(MOD(COLUMN(B56:CU56),2)=1,B56:CU56,0))</f>
        <v>0</v>
      </c>
    </row>
    <row r="57" spans="1:101" x14ac:dyDescent="0.25">
      <c r="A57" s="45">
        <v>53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19">
        <f t="array" ref="CV57">SUM(IF(MOD(COLUMN(B57:CU57),2)=0,B57:CU57,0))</f>
        <v>0</v>
      </c>
      <c r="CW57" s="38">
        <f t="array" ref="CW57">SUM(IF(MOD(COLUMN(B57:CU57),2)=1,B57:CU57,0))</f>
        <v>0</v>
      </c>
    </row>
    <row r="58" spans="1:101" x14ac:dyDescent="0.25">
      <c r="A58" s="45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19">
        <f t="array" ref="CV58">SUM(IF(MOD(COLUMN(B58:CU58),2)=0,B58:CU58,0))</f>
        <v>0</v>
      </c>
      <c r="CW58" s="38">
        <f t="array" ref="CW58">SUM(IF(MOD(COLUMN(B58:CU58),2)=1,B58:CU58,0))</f>
        <v>0</v>
      </c>
    </row>
    <row r="59" spans="1:101" x14ac:dyDescent="0.25">
      <c r="A59" s="45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19">
        <f t="array" ref="CV59">SUM(IF(MOD(COLUMN(B59:CU59),2)=0,B59:CU59,0))</f>
        <v>0</v>
      </c>
      <c r="CW59" s="38">
        <f t="array" ref="CW59">SUM(IF(MOD(COLUMN(B59:CU59),2)=1,B59:CU59,0))</f>
        <v>0</v>
      </c>
    </row>
    <row r="60" spans="1:101" x14ac:dyDescent="0.25">
      <c r="A60" s="45">
        <v>56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19">
        <f t="array" ref="CV60">SUM(IF(MOD(COLUMN(B60:CU60),2)=0,B60:CU60,0))</f>
        <v>0</v>
      </c>
      <c r="CW60" s="38">
        <f t="array" ref="CW60">SUM(IF(MOD(COLUMN(B60:CU60),2)=1,B60:CU60,0))</f>
        <v>0</v>
      </c>
    </row>
    <row r="61" spans="1:101" x14ac:dyDescent="0.25">
      <c r="A61" s="45">
        <v>57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19">
        <f t="array" ref="CV61">SUM(IF(MOD(COLUMN(B61:CU61),2)=0,B61:CU61,0))</f>
        <v>0</v>
      </c>
      <c r="CW61" s="38">
        <f t="array" ref="CW61">SUM(IF(MOD(COLUMN(B61:CU61),2)=1,B61:CU61,0))</f>
        <v>0</v>
      </c>
    </row>
    <row r="62" spans="1:101" x14ac:dyDescent="0.25">
      <c r="A62" s="45">
        <v>58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19">
        <f t="array" ref="CV62">SUM(IF(MOD(COLUMN(B62:CU62),2)=0,B62:CU62,0))</f>
        <v>0</v>
      </c>
      <c r="CW62" s="38">
        <f t="array" ref="CW62">SUM(IF(MOD(COLUMN(B62:CU62),2)=1,B62:CU62,0))</f>
        <v>0</v>
      </c>
    </row>
    <row r="63" spans="1:101" x14ac:dyDescent="0.25">
      <c r="A63" s="45">
        <v>59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19">
        <f t="array" ref="CV63">SUM(IF(MOD(COLUMN(B63:CU63),2)=0,B63:CU63,0))</f>
        <v>0</v>
      </c>
      <c r="CW63" s="38">
        <f t="array" ref="CW63">SUM(IF(MOD(COLUMN(B63:CU63),2)=1,B63:CU63,0))</f>
        <v>0</v>
      </c>
    </row>
    <row r="64" spans="1:101" x14ac:dyDescent="0.25">
      <c r="A64" s="45">
        <v>60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19">
        <f t="array" ref="CV64">SUM(IF(MOD(COLUMN(B64:CU64),2)=0,B64:CU64,0))</f>
        <v>0</v>
      </c>
      <c r="CW64" s="38">
        <f t="array" ref="CW64">SUM(IF(MOD(COLUMN(B64:CU64),2)=1,B64:CU64,0))</f>
        <v>0</v>
      </c>
    </row>
    <row r="65" spans="1:101" x14ac:dyDescent="0.25">
      <c r="A65" s="45">
        <v>61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19">
        <f t="array" ref="CV65">SUM(IF(MOD(COLUMN(B65:CU65),2)=0,B65:CU65,0))</f>
        <v>0</v>
      </c>
      <c r="CW65" s="38">
        <f t="array" ref="CW65">SUM(IF(MOD(COLUMN(B65:CU65),2)=1,B65:CU65,0))</f>
        <v>0</v>
      </c>
    </row>
    <row r="66" spans="1:101" x14ac:dyDescent="0.25">
      <c r="A66" s="45">
        <v>62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19">
        <f t="array" ref="CV66">SUM(IF(MOD(COLUMN(B66:CU66),2)=0,B66:CU66,0))</f>
        <v>0</v>
      </c>
      <c r="CW66" s="38">
        <f t="array" ref="CW66">SUM(IF(MOD(COLUMN(B66:CU66),2)=1,B66:CU66,0))</f>
        <v>0</v>
      </c>
    </row>
    <row r="67" spans="1:101" x14ac:dyDescent="0.25">
      <c r="A67" s="45">
        <v>63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19">
        <f t="array" ref="CV67">SUM(IF(MOD(COLUMN(B67:CU67),2)=0,B67:CU67,0))</f>
        <v>0</v>
      </c>
      <c r="CW67" s="38">
        <f t="array" ref="CW67">SUM(IF(MOD(COLUMN(B67:CU67),2)=1,B67:CU67,0))</f>
        <v>0</v>
      </c>
    </row>
    <row r="68" spans="1:101" x14ac:dyDescent="0.25">
      <c r="A68" s="45">
        <v>64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19">
        <f t="array" ref="CV68">SUM(IF(MOD(COLUMN(B68:CU68),2)=0,B68:CU68,0))</f>
        <v>0</v>
      </c>
      <c r="CW68" s="38">
        <f t="array" ref="CW68">SUM(IF(MOD(COLUMN(B68:CU68),2)=1,B68:CU68,0))</f>
        <v>0</v>
      </c>
    </row>
    <row r="69" spans="1:101" x14ac:dyDescent="0.25">
      <c r="A69" s="45">
        <v>65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19">
        <f t="array" ref="CV69">SUM(IF(MOD(COLUMN(B69:CU69),2)=0,B69:CU69,0))</f>
        <v>0</v>
      </c>
      <c r="CW69" s="38">
        <f t="array" ref="CW69">SUM(IF(MOD(COLUMN(B69:CU69),2)=1,B69:CU69,0))</f>
        <v>0</v>
      </c>
    </row>
    <row r="70" spans="1:101" x14ac:dyDescent="0.25">
      <c r="A70" s="45">
        <v>66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19">
        <f t="array" ref="CV70">SUM(IF(MOD(COLUMN(B70:CU70),2)=0,B70:CU70,0))</f>
        <v>0</v>
      </c>
      <c r="CW70" s="38">
        <f t="array" ref="CW70">SUM(IF(MOD(COLUMN(B70:CU70),2)=1,B70:CU70,0))</f>
        <v>0</v>
      </c>
    </row>
    <row r="71" spans="1:101" x14ac:dyDescent="0.25">
      <c r="A71" s="45">
        <v>67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19">
        <f t="array" ref="CV71">SUM(IF(MOD(COLUMN(B71:CU71),2)=0,B71:CU71,0))</f>
        <v>0</v>
      </c>
      <c r="CW71" s="38">
        <f t="array" ref="CW71">SUM(IF(MOD(COLUMN(B71:CU71),2)=1,B71:CU71,0))</f>
        <v>0</v>
      </c>
    </row>
    <row r="72" spans="1:101" x14ac:dyDescent="0.25">
      <c r="A72" s="45">
        <v>68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19">
        <f t="array" ref="CV72">SUM(IF(MOD(COLUMN(B72:CU72),2)=0,B72:CU72,0))</f>
        <v>0</v>
      </c>
      <c r="CW72" s="38">
        <f t="array" ref="CW72">SUM(IF(MOD(COLUMN(B72:CU72),2)=1,B72:CU72,0))</f>
        <v>0</v>
      </c>
    </row>
    <row r="73" spans="1:101" x14ac:dyDescent="0.25">
      <c r="A73" s="45">
        <v>69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19">
        <f t="array" ref="CV73">SUM(IF(MOD(COLUMN(B73:CU73),2)=0,B73:CU73,0))</f>
        <v>0</v>
      </c>
      <c r="CW73" s="38">
        <f t="array" ref="CW73">SUM(IF(MOD(COLUMN(B73:CU73),2)=1,B73:CU73,0))</f>
        <v>0</v>
      </c>
    </row>
    <row r="74" spans="1:101" x14ac:dyDescent="0.25">
      <c r="A74" s="45">
        <v>70</v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19">
        <f t="array" ref="CV74">SUM(IF(MOD(COLUMN(B74:CU74),2)=0,B74:CU74,0))</f>
        <v>0</v>
      </c>
      <c r="CW74" s="38">
        <f t="array" ref="CW74">SUM(IF(MOD(COLUMN(B74:CU74),2)=1,B74:CU74,0))</f>
        <v>0</v>
      </c>
    </row>
    <row r="75" spans="1:101" x14ac:dyDescent="0.25">
      <c r="A75" s="45">
        <v>71</v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19">
        <f t="array" ref="CV75">SUM(IF(MOD(COLUMN(B75:CU75),2)=0,B75:CU75,0))</f>
        <v>0</v>
      </c>
      <c r="CW75" s="38">
        <f t="array" ref="CW75">SUM(IF(MOD(COLUMN(B75:CU75),2)=1,B75:CU75,0))</f>
        <v>0</v>
      </c>
    </row>
    <row r="76" spans="1:101" x14ac:dyDescent="0.25">
      <c r="A76" s="45">
        <v>72</v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19">
        <f t="array" ref="CV76">SUM(IF(MOD(COLUMN(B76:CU76),2)=0,B76:CU76,0))</f>
        <v>0</v>
      </c>
      <c r="CW76" s="38">
        <f t="array" ref="CW76">SUM(IF(MOD(COLUMN(B76:CU76),2)=1,B76:CU76,0))</f>
        <v>0</v>
      </c>
    </row>
    <row r="77" spans="1:101" x14ac:dyDescent="0.25">
      <c r="A77" s="45">
        <v>73</v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19">
        <f t="array" ref="CV77">SUM(IF(MOD(COLUMN(B77:CU77),2)=0,B77:CU77,0))</f>
        <v>0</v>
      </c>
      <c r="CW77" s="38">
        <f t="array" ref="CW77">SUM(IF(MOD(COLUMN(B77:CU77),2)=1,B77:CU77,0))</f>
        <v>0</v>
      </c>
    </row>
    <row r="78" spans="1:101" x14ac:dyDescent="0.25">
      <c r="A78" s="45">
        <v>74</v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19">
        <f t="array" ref="CV78">SUM(IF(MOD(COLUMN(B78:CU78),2)=0,B78:CU78,0))</f>
        <v>0</v>
      </c>
      <c r="CW78" s="38">
        <f t="array" ref="CW78">SUM(IF(MOD(COLUMN(B78:CU78),2)=1,B78:CU78,0))</f>
        <v>0</v>
      </c>
    </row>
    <row r="79" spans="1:101" x14ac:dyDescent="0.25">
      <c r="A79" s="45">
        <v>75</v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19">
        <f t="array" ref="CV79">SUM(IF(MOD(COLUMN(B79:CU79),2)=0,B79:CU79,0))</f>
        <v>0</v>
      </c>
      <c r="CW79" s="38">
        <f t="array" ref="CW79">SUM(IF(MOD(COLUMN(B79:CU79),2)=1,B79:CU79,0))</f>
        <v>0</v>
      </c>
    </row>
    <row r="80" spans="1:101" x14ac:dyDescent="0.25">
      <c r="A80" s="45">
        <v>76</v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19">
        <f t="array" ref="CV80">SUM(IF(MOD(COLUMN(B80:CU80),2)=0,B80:CU80,0))</f>
        <v>0</v>
      </c>
      <c r="CW80" s="38">
        <f t="array" ref="CW80">SUM(IF(MOD(COLUMN(B80:CU80),2)=1,B80:CU80,0))</f>
        <v>0</v>
      </c>
    </row>
    <row r="81" spans="1:101" x14ac:dyDescent="0.25">
      <c r="A81" s="45">
        <v>77</v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19">
        <f t="array" ref="CV81">SUM(IF(MOD(COLUMN(B81:CU81),2)=0,B81:CU81,0))</f>
        <v>0</v>
      </c>
      <c r="CW81" s="38">
        <f t="array" ref="CW81">SUM(IF(MOD(COLUMN(B81:CU81),2)=1,B81:CU81,0))</f>
        <v>0</v>
      </c>
    </row>
    <row r="82" spans="1:101" x14ac:dyDescent="0.25">
      <c r="A82" s="45">
        <v>78</v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19">
        <f t="array" ref="CV82">SUM(IF(MOD(COLUMN(B82:CU82),2)=0,B82:CU82,0))</f>
        <v>0</v>
      </c>
      <c r="CW82" s="38">
        <f t="array" ref="CW82">SUM(IF(MOD(COLUMN(B82:CU82),2)=1,B82:CU82,0))</f>
        <v>0</v>
      </c>
    </row>
    <row r="83" spans="1:101" x14ac:dyDescent="0.25">
      <c r="A83" s="45">
        <v>79</v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19">
        <f t="array" ref="CV83">SUM(IF(MOD(COLUMN(B83:CU83),2)=0,B83:CU83,0))</f>
        <v>0</v>
      </c>
      <c r="CW83" s="38">
        <f t="array" ref="CW83">SUM(IF(MOD(COLUMN(B83:CU83),2)=1,B83:CU83,0))</f>
        <v>0</v>
      </c>
    </row>
    <row r="84" spans="1:101" x14ac:dyDescent="0.25">
      <c r="A84" s="45">
        <v>80</v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19">
        <f t="array" ref="CV84">SUM(IF(MOD(COLUMN(B84:CU84),2)=0,B84:CU84,0))</f>
        <v>0</v>
      </c>
      <c r="CW84" s="38">
        <f t="array" ref="CW84">SUM(IF(MOD(COLUMN(B84:CU84),2)=1,B84:CU84,0))</f>
        <v>0</v>
      </c>
    </row>
    <row r="85" spans="1:101" x14ac:dyDescent="0.25">
      <c r="A85" s="45">
        <v>81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19">
        <f t="array" ref="CV85">SUM(IF(MOD(COLUMN(B85:CU85),2)=0,B85:CU85,0))</f>
        <v>0</v>
      </c>
      <c r="CW85" s="38">
        <f t="array" ref="CW85">SUM(IF(MOD(COLUMN(B85:CU85),2)=1,B85:CU85,0))</f>
        <v>0</v>
      </c>
    </row>
    <row r="86" spans="1:101" x14ac:dyDescent="0.25">
      <c r="A86" s="45">
        <v>82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19">
        <f t="array" ref="CV86">SUM(IF(MOD(COLUMN(B86:CU86),2)=0,B86:CU86,0))</f>
        <v>0</v>
      </c>
      <c r="CW86" s="38">
        <f t="array" ref="CW86">SUM(IF(MOD(COLUMN(B86:CU86),2)=1,B86:CU86,0))</f>
        <v>0</v>
      </c>
    </row>
    <row r="87" spans="1:101" x14ac:dyDescent="0.25">
      <c r="A87" s="45">
        <v>83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19">
        <f t="array" ref="CV87">SUM(IF(MOD(COLUMN(B87:CU87),2)=0,B87:CU87,0))</f>
        <v>0</v>
      </c>
      <c r="CW87" s="38">
        <f t="array" ref="CW87">SUM(IF(MOD(COLUMN(B87:CU87),2)=1,B87:CU87,0))</f>
        <v>0</v>
      </c>
    </row>
    <row r="88" spans="1:101" x14ac:dyDescent="0.25">
      <c r="A88" s="45">
        <v>84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19">
        <f t="array" ref="CV88">SUM(IF(MOD(COLUMN(B88:CU88),2)=0,B88:CU88,0))</f>
        <v>0</v>
      </c>
      <c r="CW88" s="38">
        <f t="array" ref="CW88">SUM(IF(MOD(COLUMN(B88:CU88),2)=1,B88:CU88,0))</f>
        <v>0</v>
      </c>
    </row>
    <row r="89" spans="1:101" x14ac:dyDescent="0.25">
      <c r="A89" s="45">
        <v>85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19">
        <f t="array" ref="CV89">SUM(IF(MOD(COLUMN(B89:CU89),2)=0,B89:CU89,0))</f>
        <v>0</v>
      </c>
      <c r="CW89" s="38">
        <f t="array" ref="CW89">SUM(IF(MOD(COLUMN(B89:CU89),2)=1,B89:CU89,0))</f>
        <v>0</v>
      </c>
    </row>
    <row r="90" spans="1:101" x14ac:dyDescent="0.25">
      <c r="A90" s="45">
        <v>86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19">
        <f t="array" ref="CV90">SUM(IF(MOD(COLUMN(B90:CU90),2)=0,B90:CU90,0))</f>
        <v>0</v>
      </c>
      <c r="CW90" s="38">
        <f t="array" ref="CW90">SUM(IF(MOD(COLUMN(B90:CU90),2)=1,B90:CU90,0))</f>
        <v>0</v>
      </c>
    </row>
    <row r="91" spans="1:101" x14ac:dyDescent="0.25">
      <c r="A91" s="45">
        <v>87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19">
        <f t="array" ref="CV91">SUM(IF(MOD(COLUMN(B91:CU91),2)=0,B91:CU91,0))</f>
        <v>0</v>
      </c>
      <c r="CW91" s="38">
        <f t="array" ref="CW91">SUM(IF(MOD(COLUMN(B91:CU91),2)=1,B91:CU91,0))</f>
        <v>0</v>
      </c>
    </row>
    <row r="92" spans="1:101" x14ac:dyDescent="0.25">
      <c r="A92" s="45">
        <v>88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19">
        <f t="array" ref="CV92">SUM(IF(MOD(COLUMN(B92:CU92),2)=0,B92:CU92,0))</f>
        <v>0</v>
      </c>
      <c r="CW92" s="38">
        <f t="array" ref="CW92">SUM(IF(MOD(COLUMN(B92:CU92),2)=1,B92:CU92,0))</f>
        <v>0</v>
      </c>
    </row>
    <row r="93" spans="1:101" x14ac:dyDescent="0.25">
      <c r="A93" s="45">
        <v>89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19">
        <f t="array" ref="CV93">SUM(IF(MOD(COLUMN(B93:CU93),2)=0,B93:CU93,0))</f>
        <v>0</v>
      </c>
      <c r="CW93" s="38">
        <f t="array" ref="CW93">SUM(IF(MOD(COLUMN(B93:CU93),2)=1,B93:CU93,0))</f>
        <v>0</v>
      </c>
    </row>
    <row r="94" spans="1:101" x14ac:dyDescent="0.25">
      <c r="A94" s="45">
        <v>90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19">
        <f t="array" ref="CV94">SUM(IF(MOD(COLUMN(B94:CU94),2)=0,B94:CU94,0))</f>
        <v>0</v>
      </c>
      <c r="CW94" s="38">
        <f t="array" ref="CW94">SUM(IF(MOD(COLUMN(B94:CU94),2)=1,B94:CU94,0))</f>
        <v>0</v>
      </c>
    </row>
    <row r="95" spans="1:101" x14ac:dyDescent="0.25">
      <c r="A95" s="45">
        <v>91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19">
        <f t="array" ref="CV95">SUM(IF(MOD(COLUMN(B95:CU95),2)=0,B95:CU95,0))</f>
        <v>0</v>
      </c>
      <c r="CW95" s="38">
        <f t="array" ref="CW95">SUM(IF(MOD(COLUMN(B95:CU95),2)=1,B95:CU95,0))</f>
        <v>0</v>
      </c>
    </row>
    <row r="96" spans="1:101" x14ac:dyDescent="0.25">
      <c r="A96" s="45">
        <v>92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19">
        <f t="array" ref="CV96">SUM(IF(MOD(COLUMN(B96:CU96),2)=0,B96:CU96,0))</f>
        <v>0</v>
      </c>
      <c r="CW96" s="38">
        <f t="array" ref="CW96">SUM(IF(MOD(COLUMN(B96:CU96),2)=1,B96:CU96,0))</f>
        <v>0</v>
      </c>
    </row>
    <row r="97" spans="1:101" x14ac:dyDescent="0.25">
      <c r="A97" s="45">
        <v>93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19">
        <f t="array" ref="CV97">SUM(IF(MOD(COLUMN(B97:CU97),2)=0,B97:CU97,0))</f>
        <v>0</v>
      </c>
      <c r="CW97" s="38">
        <f t="array" ref="CW97">SUM(IF(MOD(COLUMN(B97:CU97),2)=1,B97:CU97,0))</f>
        <v>0</v>
      </c>
    </row>
    <row r="98" spans="1:101" x14ac:dyDescent="0.25">
      <c r="A98" s="45">
        <v>94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19">
        <f t="array" ref="CV98">SUM(IF(MOD(COLUMN(B98:CU98),2)=0,B98:CU98,0))</f>
        <v>0</v>
      </c>
      <c r="CW98" s="38">
        <f t="array" ref="CW98">SUM(IF(MOD(COLUMN(B98:CU98),2)=1,B98:CU98,0))</f>
        <v>0</v>
      </c>
    </row>
    <row r="99" spans="1:101" x14ac:dyDescent="0.25">
      <c r="A99" s="45">
        <v>95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19">
        <f t="array" ref="CV99">SUM(IF(MOD(COLUMN(B99:CU99),2)=0,B99:CU99,0))</f>
        <v>0</v>
      </c>
      <c r="CW99" s="38">
        <f t="array" ref="CW99">SUM(IF(MOD(COLUMN(B99:CU99),2)=1,B99:CU99,0))</f>
        <v>0</v>
      </c>
    </row>
    <row r="100" spans="1:101" x14ac:dyDescent="0.25">
      <c r="A100" s="45">
        <v>96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19">
        <f t="array" ref="CV100">SUM(IF(MOD(COLUMN(B100:CU100),2)=0,B100:CU100,0))</f>
        <v>0</v>
      </c>
      <c r="CW100" s="38">
        <f t="array" ref="CW100">SUM(IF(MOD(COLUMN(B100:CU100),2)=1,B100:CU100,0))</f>
        <v>0</v>
      </c>
    </row>
    <row r="101" spans="1:101" x14ac:dyDescent="0.25">
      <c r="A101" s="45">
        <v>97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19">
        <f t="array" ref="CV101">SUM(IF(MOD(COLUMN(B101:CU101),2)=0,B101:CU101,0))</f>
        <v>0</v>
      </c>
      <c r="CW101" s="38">
        <f t="array" ref="CW101">SUM(IF(MOD(COLUMN(B101:CU101),2)=1,B101:CU101,0))</f>
        <v>0</v>
      </c>
    </row>
    <row r="102" spans="1:101" x14ac:dyDescent="0.25">
      <c r="A102" s="45">
        <v>98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19">
        <f t="array" ref="CV102">SUM(IF(MOD(COLUMN(B102:CU102),2)=0,B102:CU102,0))</f>
        <v>0</v>
      </c>
      <c r="CW102" s="38">
        <f t="array" ref="CW102">SUM(IF(MOD(COLUMN(B102:CU102),2)=1,B102:CU102,0))</f>
        <v>0</v>
      </c>
    </row>
    <row r="103" spans="1:101" x14ac:dyDescent="0.25">
      <c r="A103" s="45">
        <v>99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19">
        <f t="array" ref="CV103">SUM(IF(MOD(COLUMN(B103:CU103),2)=0,B103:CU103,0))</f>
        <v>0</v>
      </c>
      <c r="CW103" s="38">
        <f t="array" ref="CW103">SUM(IF(MOD(COLUMN(B103:CU103),2)=1,B103:CU103,0))</f>
        <v>0</v>
      </c>
    </row>
    <row r="104" spans="1:101" x14ac:dyDescent="0.25">
      <c r="A104" s="45">
        <v>100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19">
        <f t="array" ref="CV104">SUM(IF(MOD(COLUMN(B104:CU104),2)=0,B104:CU104,0))</f>
        <v>0</v>
      </c>
      <c r="CW104" s="38">
        <f t="array" ref="CW104">SUM(IF(MOD(COLUMN(B104:CU104),2)=1,B104:CU104,0))</f>
        <v>0</v>
      </c>
    </row>
    <row r="105" spans="1:101" x14ac:dyDescent="0.25">
      <c r="A105" s="45">
        <v>101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19">
        <f t="array" ref="CV105">SUM(IF(MOD(COLUMN(B105:CU105),2)=0,B105:CU105,0))</f>
        <v>0</v>
      </c>
      <c r="CW105" s="38">
        <f t="array" ref="CW105">SUM(IF(MOD(COLUMN(B105:CU105),2)=1,B105:CU105,0))</f>
        <v>0</v>
      </c>
    </row>
    <row r="106" spans="1:101" x14ac:dyDescent="0.25">
      <c r="A106" s="45">
        <v>102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19">
        <f t="array" ref="CV106">SUM(IF(MOD(COLUMN(B106:CU106),2)=0,B106:CU106,0))</f>
        <v>0</v>
      </c>
      <c r="CW106" s="38">
        <f t="array" ref="CW106">SUM(IF(MOD(COLUMN(B106:CU106),2)=1,B106:CU106,0))</f>
        <v>0</v>
      </c>
    </row>
    <row r="107" spans="1:101" x14ac:dyDescent="0.25">
      <c r="A107" s="45">
        <v>103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19">
        <f t="array" ref="CV107">SUM(IF(MOD(COLUMN(B107:CU107),2)=0,B107:CU107,0))</f>
        <v>0</v>
      </c>
      <c r="CW107" s="38">
        <f t="array" ref="CW107">SUM(IF(MOD(COLUMN(B107:CU107),2)=1,B107:CU107,0))</f>
        <v>0</v>
      </c>
    </row>
    <row r="108" spans="1:101" x14ac:dyDescent="0.25">
      <c r="A108" s="45">
        <v>104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19">
        <f t="array" ref="CV108">SUM(IF(MOD(COLUMN(B108:CU108),2)=0,B108:CU108,0))</f>
        <v>0</v>
      </c>
      <c r="CW108" s="38">
        <f t="array" ref="CW108">SUM(IF(MOD(COLUMN(B108:CU108),2)=1,B108:CU108,0))</f>
        <v>0</v>
      </c>
    </row>
    <row r="109" spans="1:101" x14ac:dyDescent="0.25">
      <c r="A109" s="45">
        <v>105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19">
        <f t="array" ref="CV109">SUM(IF(MOD(COLUMN(B109:CU109),2)=0,B109:CU109,0))</f>
        <v>0</v>
      </c>
      <c r="CW109" s="38">
        <f t="array" ref="CW109">SUM(IF(MOD(COLUMN(B109:CU109),2)=1,B109:CU109,0))</f>
        <v>0</v>
      </c>
    </row>
    <row r="110" spans="1:101" x14ac:dyDescent="0.25">
      <c r="A110" s="45">
        <v>106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19">
        <f t="array" ref="CV110">SUM(IF(MOD(COLUMN(B110:CU110),2)=0,B110:CU110,0))</f>
        <v>0</v>
      </c>
      <c r="CW110" s="38">
        <f t="array" ref="CW110">SUM(IF(MOD(COLUMN(B110:CU110),2)=1,B110:CU110,0))</f>
        <v>0</v>
      </c>
    </row>
    <row r="111" spans="1:101" x14ac:dyDescent="0.25">
      <c r="A111" s="45">
        <v>107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19">
        <f t="array" ref="CV111">SUM(IF(MOD(COLUMN(B111:CU111),2)=0,B111:CU111,0))</f>
        <v>0</v>
      </c>
      <c r="CW111" s="38">
        <f t="array" ref="CW111">SUM(IF(MOD(COLUMN(B111:CU111),2)=1,B111:CU111,0))</f>
        <v>0</v>
      </c>
    </row>
    <row r="112" spans="1:101" x14ac:dyDescent="0.25">
      <c r="A112" s="45">
        <v>108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19">
        <f t="array" ref="CV112">SUM(IF(MOD(COLUMN(B112:CU112),2)=0,B112:CU112,0))</f>
        <v>0</v>
      </c>
      <c r="CW112" s="38">
        <f t="array" ref="CW112">SUM(IF(MOD(COLUMN(B112:CU112),2)=1,B112:CU112,0))</f>
        <v>0</v>
      </c>
    </row>
    <row r="113" spans="1:101" x14ac:dyDescent="0.25">
      <c r="A113" s="45">
        <v>109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19">
        <f t="array" ref="CV113">SUM(IF(MOD(COLUMN(B113:CU113),2)=0,B113:CU113,0))</f>
        <v>0</v>
      </c>
      <c r="CW113" s="38">
        <f t="array" ref="CW113">SUM(IF(MOD(COLUMN(B113:CU113),2)=1,B113:CU113,0))</f>
        <v>0</v>
      </c>
    </row>
    <row r="114" spans="1:101" x14ac:dyDescent="0.25">
      <c r="A114" s="45">
        <v>110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19">
        <f t="array" ref="CV114">SUM(IF(MOD(COLUMN(B114:CU114),2)=0,B114:CU114,0))</f>
        <v>0</v>
      </c>
      <c r="CW114" s="38">
        <f t="array" ref="CW114">SUM(IF(MOD(COLUMN(B114:CU114),2)=1,B114:CU114,0))</f>
        <v>0</v>
      </c>
    </row>
    <row r="115" spans="1:101" x14ac:dyDescent="0.25">
      <c r="A115" s="45">
        <v>111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19">
        <f t="array" ref="CV115">SUM(IF(MOD(COLUMN(B115:CU115),2)=0,B115:CU115,0))</f>
        <v>0</v>
      </c>
      <c r="CW115" s="38">
        <f t="array" ref="CW115">SUM(IF(MOD(COLUMN(B115:CU115),2)=1,B115:CU115,0))</f>
        <v>0</v>
      </c>
    </row>
    <row r="116" spans="1:101" x14ac:dyDescent="0.25">
      <c r="A116" s="45">
        <v>112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19">
        <f t="array" ref="CV116">SUM(IF(MOD(COLUMN(B116:CU116),2)=0,B116:CU116,0))</f>
        <v>0</v>
      </c>
      <c r="CW116" s="38">
        <f t="array" ref="CW116">SUM(IF(MOD(COLUMN(B116:CU116),2)=1,B116:CU116,0))</f>
        <v>0</v>
      </c>
    </row>
    <row r="117" spans="1:101" x14ac:dyDescent="0.25">
      <c r="A117" s="45">
        <v>113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19">
        <f t="array" ref="CV117">SUM(IF(MOD(COLUMN(B117:CU117),2)=0,B117:CU117,0))</f>
        <v>0</v>
      </c>
      <c r="CW117" s="38">
        <f t="array" ref="CW117">SUM(IF(MOD(COLUMN(B117:CU117),2)=1,B117:CU117,0))</f>
        <v>0</v>
      </c>
    </row>
    <row r="118" spans="1:101" x14ac:dyDescent="0.25">
      <c r="A118" s="45">
        <v>114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19">
        <f t="array" ref="CV118">SUM(IF(MOD(COLUMN(B118:CU118),2)=0,B118:CU118,0))</f>
        <v>0</v>
      </c>
      <c r="CW118" s="38">
        <f t="array" ref="CW118">SUM(IF(MOD(COLUMN(B118:CU118),2)=1,B118:CU118,0))</f>
        <v>0</v>
      </c>
    </row>
    <row r="119" spans="1:101" x14ac:dyDescent="0.25">
      <c r="A119" s="45">
        <v>115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19">
        <f t="array" ref="CV119">SUM(IF(MOD(COLUMN(B119:CU119),2)=0,B119:CU119,0))</f>
        <v>0</v>
      </c>
      <c r="CW119" s="38">
        <f t="array" ref="CW119">SUM(IF(MOD(COLUMN(B119:CU119),2)=1,B119:CU119,0))</f>
        <v>0</v>
      </c>
    </row>
    <row r="120" spans="1:101" x14ac:dyDescent="0.25">
      <c r="A120" s="45">
        <v>116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19">
        <f t="array" ref="CV120">SUM(IF(MOD(COLUMN(B120:CU120),2)=0,B120:CU120,0))</f>
        <v>0</v>
      </c>
      <c r="CW120" s="38">
        <f t="array" ref="CW120">SUM(IF(MOD(COLUMN(B120:CU120),2)=1,B120:CU120,0))</f>
        <v>0</v>
      </c>
    </row>
    <row r="121" spans="1:101" x14ac:dyDescent="0.25">
      <c r="A121" s="45">
        <v>117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19">
        <f t="array" ref="CV121">SUM(IF(MOD(COLUMN(B121:CU121),2)=0,B121:CU121,0))</f>
        <v>0</v>
      </c>
      <c r="CW121" s="38">
        <f t="array" ref="CW121">SUM(IF(MOD(COLUMN(B121:CU121),2)=1,B121:CU121,0))</f>
        <v>0</v>
      </c>
    </row>
    <row r="122" spans="1:101" x14ac:dyDescent="0.25">
      <c r="A122" s="45">
        <v>118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19">
        <f t="array" ref="CV122">SUM(IF(MOD(COLUMN(B122:CU122),2)=0,B122:CU122,0))</f>
        <v>0</v>
      </c>
      <c r="CW122" s="38">
        <f t="array" ref="CW122">SUM(IF(MOD(COLUMN(B122:CU122),2)=1,B122:CU122,0))</f>
        <v>0</v>
      </c>
    </row>
    <row r="123" spans="1:101" x14ac:dyDescent="0.25">
      <c r="A123" s="45">
        <v>119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19">
        <f t="array" ref="CV123">SUM(IF(MOD(COLUMN(B123:CU123),2)=0,B123:CU123,0))</f>
        <v>0</v>
      </c>
      <c r="CW123" s="38">
        <f t="array" ref="CW123">SUM(IF(MOD(COLUMN(B123:CU123),2)=1,B123:CU123,0))</f>
        <v>0</v>
      </c>
    </row>
    <row r="124" spans="1:101" x14ac:dyDescent="0.25">
      <c r="A124" s="45">
        <v>120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19">
        <f t="array" ref="CV124">SUM(IF(MOD(COLUMN(B124:CU124),2)=0,B124:CU124,0))</f>
        <v>0</v>
      </c>
      <c r="CW124" s="38">
        <f t="array" ref="CW124">SUM(IF(MOD(COLUMN(B124:CU124),2)=1,B124:CU124,0))</f>
        <v>0</v>
      </c>
    </row>
    <row r="125" spans="1:101" x14ac:dyDescent="0.25">
      <c r="A125" s="45">
        <v>121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19">
        <f t="array" ref="CV125">SUM(IF(MOD(COLUMN(B125:CU125),2)=0,B125:CU125,0))</f>
        <v>0</v>
      </c>
      <c r="CW125" s="38">
        <f t="array" ref="CW125">SUM(IF(MOD(COLUMN(B125:CU125),2)=1,B125:CU125,0))</f>
        <v>0</v>
      </c>
    </row>
    <row r="126" spans="1:101" x14ac:dyDescent="0.25">
      <c r="A126" s="45">
        <v>122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19">
        <f t="array" ref="CV126">SUM(IF(MOD(COLUMN(B126:CU126),2)=0,B126:CU126,0))</f>
        <v>0</v>
      </c>
      <c r="CW126" s="38">
        <f t="array" ref="CW126">SUM(IF(MOD(COLUMN(B126:CU126),2)=1,B126:CU126,0))</f>
        <v>0</v>
      </c>
    </row>
    <row r="127" spans="1:101" x14ac:dyDescent="0.25">
      <c r="A127" s="45">
        <v>123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19">
        <f t="array" ref="CV127">SUM(IF(MOD(COLUMN(B127:CU127),2)=0,B127:CU127,0))</f>
        <v>0</v>
      </c>
      <c r="CW127" s="38">
        <f t="array" ref="CW127">SUM(IF(MOD(COLUMN(B127:CU127),2)=1,B127:CU127,0))</f>
        <v>0</v>
      </c>
    </row>
    <row r="128" spans="1:101" x14ac:dyDescent="0.25">
      <c r="A128" s="45">
        <v>124</v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19">
        <f t="array" ref="CV128">SUM(IF(MOD(COLUMN(B128:CU128),2)=0,B128:CU128,0))</f>
        <v>0</v>
      </c>
      <c r="CW128" s="38">
        <f t="array" ref="CW128">SUM(IF(MOD(COLUMN(B128:CU128),2)=1,B128:CU128,0))</f>
        <v>0</v>
      </c>
    </row>
    <row r="129" spans="1:101" x14ac:dyDescent="0.25">
      <c r="A129" s="45">
        <v>125</v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19">
        <f t="array" ref="CV129">SUM(IF(MOD(COLUMN(B129:CU129),2)=0,B129:CU129,0))</f>
        <v>0</v>
      </c>
      <c r="CW129" s="38">
        <f t="array" ref="CW129">SUM(IF(MOD(COLUMN(B129:CU129),2)=1,B129:CU129,0))</f>
        <v>0</v>
      </c>
    </row>
    <row r="130" spans="1:101" x14ac:dyDescent="0.25">
      <c r="A130" s="45">
        <v>126</v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19">
        <f t="array" ref="CV130">SUM(IF(MOD(COLUMN(B130:CU130),2)=0,B130:CU130,0))</f>
        <v>0</v>
      </c>
      <c r="CW130" s="38">
        <f t="array" ref="CW130">SUM(IF(MOD(COLUMN(B130:CU130),2)=1,B130:CU130,0))</f>
        <v>0</v>
      </c>
    </row>
    <row r="131" spans="1:101" x14ac:dyDescent="0.25">
      <c r="A131" s="45">
        <v>127</v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19">
        <f t="array" ref="CV131">SUM(IF(MOD(COLUMN(B131:CU131),2)=0,B131:CU131,0))</f>
        <v>0</v>
      </c>
      <c r="CW131" s="38">
        <f t="array" ref="CW131">SUM(IF(MOD(COLUMN(B131:CU131),2)=1,B131:CU131,0))</f>
        <v>0</v>
      </c>
    </row>
    <row r="132" spans="1:101" x14ac:dyDescent="0.25">
      <c r="A132" s="45">
        <v>128</v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19">
        <f t="array" ref="CV132">SUM(IF(MOD(COLUMN(B132:CU132),2)=0,B132:CU132,0))</f>
        <v>0</v>
      </c>
      <c r="CW132" s="38">
        <f t="array" ref="CW132">SUM(IF(MOD(COLUMN(B132:CU132),2)=1,B132:CU132,0))</f>
        <v>0</v>
      </c>
    </row>
    <row r="133" spans="1:101" x14ac:dyDescent="0.25">
      <c r="A133" s="45">
        <v>129</v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19">
        <f t="array" ref="CV133">SUM(IF(MOD(COLUMN(B133:CU133),2)=0,B133:CU133,0))</f>
        <v>0</v>
      </c>
      <c r="CW133" s="38">
        <f t="array" ref="CW133">SUM(IF(MOD(COLUMN(B133:CU133),2)=1,B133:CU133,0))</f>
        <v>0</v>
      </c>
    </row>
    <row r="134" spans="1:101" x14ac:dyDescent="0.25">
      <c r="A134" s="45">
        <v>130</v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19">
        <f t="array" ref="CV134">SUM(IF(MOD(COLUMN(B134:CU134),2)=0,B134:CU134,0))</f>
        <v>0</v>
      </c>
      <c r="CW134" s="38">
        <f t="array" ref="CW134">SUM(IF(MOD(COLUMN(B134:CU134),2)=1,B134:CU134,0))</f>
        <v>0</v>
      </c>
    </row>
    <row r="135" spans="1:101" x14ac:dyDescent="0.25">
      <c r="A135" s="45">
        <v>131</v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19">
        <f t="array" ref="CV135">SUM(IF(MOD(COLUMN(B135:CU135),2)=0,B135:CU135,0))</f>
        <v>0</v>
      </c>
      <c r="CW135" s="38">
        <f t="array" ref="CW135">SUM(IF(MOD(COLUMN(B135:CU135),2)=1,B135:CU135,0))</f>
        <v>0</v>
      </c>
    </row>
    <row r="136" spans="1:101" x14ac:dyDescent="0.25">
      <c r="A136" s="45">
        <v>132</v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19">
        <f t="array" ref="CV136">SUM(IF(MOD(COLUMN(B136:CU136),2)=0,B136:CU136,0))</f>
        <v>0</v>
      </c>
      <c r="CW136" s="38">
        <f t="array" ref="CW136">SUM(IF(MOD(COLUMN(B136:CU136),2)=1,B136:CU136,0))</f>
        <v>0</v>
      </c>
    </row>
    <row r="137" spans="1:101" x14ac:dyDescent="0.25">
      <c r="A137" s="45">
        <v>133</v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19">
        <f t="array" ref="CV137">SUM(IF(MOD(COLUMN(B137:CU137),2)=0,B137:CU137,0))</f>
        <v>0</v>
      </c>
      <c r="CW137" s="38">
        <f t="array" ref="CW137">SUM(IF(MOD(COLUMN(B137:CU137),2)=1,B137:CU137,0))</f>
        <v>0</v>
      </c>
    </row>
    <row r="138" spans="1:101" x14ac:dyDescent="0.25">
      <c r="A138" s="45">
        <v>134</v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19">
        <f t="array" ref="CV138">SUM(IF(MOD(COLUMN(B138:CU138),2)=0,B138:CU138,0))</f>
        <v>0</v>
      </c>
      <c r="CW138" s="38">
        <f t="array" ref="CW138">SUM(IF(MOD(COLUMN(B138:CU138),2)=1,B138:CU138,0))</f>
        <v>0</v>
      </c>
    </row>
    <row r="139" spans="1:101" x14ac:dyDescent="0.25">
      <c r="A139" s="45">
        <v>135</v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19">
        <f t="array" ref="CV139">SUM(IF(MOD(COLUMN(B139:CU139),2)=0,B139:CU139,0))</f>
        <v>0</v>
      </c>
      <c r="CW139" s="38">
        <f t="array" ref="CW139">SUM(IF(MOD(COLUMN(B139:CU139),2)=1,B139:CU139,0))</f>
        <v>0</v>
      </c>
    </row>
    <row r="140" spans="1:101" x14ac:dyDescent="0.25">
      <c r="A140" s="45">
        <v>136</v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19">
        <f t="array" ref="CV140">SUM(IF(MOD(COLUMN(B140:CU140),2)=0,B140:CU140,0))</f>
        <v>0</v>
      </c>
      <c r="CW140" s="38">
        <f t="array" ref="CW140">SUM(IF(MOD(COLUMN(B140:CU140),2)=1,B140:CU140,0))</f>
        <v>0</v>
      </c>
    </row>
    <row r="141" spans="1:101" x14ac:dyDescent="0.25">
      <c r="A141" s="45">
        <v>137</v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19">
        <f t="array" ref="CV141">SUM(IF(MOD(COLUMN(B141:CU141),2)=0,B141:CU141,0))</f>
        <v>0</v>
      </c>
      <c r="CW141" s="38">
        <f t="array" ref="CW141">SUM(IF(MOD(COLUMN(B141:CU141),2)=1,B141:CU141,0))</f>
        <v>0</v>
      </c>
    </row>
    <row r="142" spans="1:101" x14ac:dyDescent="0.25">
      <c r="A142" s="45">
        <v>138</v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19">
        <f t="array" ref="CV142">SUM(IF(MOD(COLUMN(B142:CU142),2)=0,B142:CU142,0))</f>
        <v>0</v>
      </c>
      <c r="CW142" s="38">
        <f t="array" ref="CW142">SUM(IF(MOD(COLUMN(B142:CU142),2)=1,B142:CU142,0))</f>
        <v>0</v>
      </c>
    </row>
    <row r="143" spans="1:101" x14ac:dyDescent="0.25">
      <c r="A143" s="45">
        <v>139</v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19">
        <f t="array" ref="CV143">SUM(IF(MOD(COLUMN(B143:CU143),2)=0,B143:CU143,0))</f>
        <v>0</v>
      </c>
      <c r="CW143" s="38">
        <f t="array" ref="CW143">SUM(IF(MOD(COLUMN(B143:CU143),2)=1,B143:CU143,0))</f>
        <v>0</v>
      </c>
    </row>
    <row r="144" spans="1:101" x14ac:dyDescent="0.25">
      <c r="A144" s="45">
        <v>140</v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19">
        <f t="array" ref="CV144">SUM(IF(MOD(COLUMN(B144:CU144),2)=0,B144:CU144,0))</f>
        <v>0</v>
      </c>
      <c r="CW144" s="38">
        <f t="array" ref="CW144">SUM(IF(MOD(COLUMN(B144:CU144),2)=1,B144:CU144,0))</f>
        <v>0</v>
      </c>
    </row>
    <row r="145" spans="1:101" x14ac:dyDescent="0.25">
      <c r="A145" s="45">
        <v>141</v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19">
        <f t="array" ref="CV145">SUM(IF(MOD(COLUMN(B145:CU145),2)=0,B145:CU145,0))</f>
        <v>0</v>
      </c>
      <c r="CW145" s="38">
        <f t="array" ref="CW145">SUM(IF(MOD(COLUMN(B145:CU145),2)=1,B145:CU145,0))</f>
        <v>0</v>
      </c>
    </row>
    <row r="146" spans="1:101" x14ac:dyDescent="0.25">
      <c r="A146" s="45">
        <v>142</v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19">
        <f t="array" ref="CV146">SUM(IF(MOD(COLUMN(B146:CU146),2)=0,B146:CU146,0))</f>
        <v>0</v>
      </c>
      <c r="CW146" s="38">
        <f t="array" ref="CW146">SUM(IF(MOD(COLUMN(B146:CU146),2)=1,B146:CU146,0))</f>
        <v>0</v>
      </c>
    </row>
    <row r="147" spans="1:101" x14ac:dyDescent="0.25">
      <c r="A147" s="45">
        <v>143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19">
        <f t="array" ref="CV147">SUM(IF(MOD(COLUMN(B147:CU147),2)=0,B147:CU147,0))</f>
        <v>0</v>
      </c>
      <c r="CW147" s="38">
        <f t="array" ref="CW147">SUM(IF(MOD(COLUMN(B147:CU147),2)=1,B147:CU147,0))</f>
        <v>0</v>
      </c>
    </row>
    <row r="148" spans="1:101" x14ac:dyDescent="0.25">
      <c r="A148" s="45">
        <v>144</v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19">
        <f t="array" ref="CV148">SUM(IF(MOD(COLUMN(B148:CU148),2)=0,B148:CU148,0))</f>
        <v>0</v>
      </c>
      <c r="CW148" s="38">
        <f t="array" ref="CW148">SUM(IF(MOD(COLUMN(B148:CU148),2)=1,B148:CU148,0))</f>
        <v>0</v>
      </c>
    </row>
    <row r="149" spans="1:101" x14ac:dyDescent="0.25">
      <c r="A149" s="45">
        <v>145</v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19">
        <f t="array" ref="CV149">SUM(IF(MOD(COLUMN(B149:CU149),2)=0,B149:CU149,0))</f>
        <v>0</v>
      </c>
      <c r="CW149" s="38">
        <f t="array" ref="CW149">SUM(IF(MOD(COLUMN(B149:CU149),2)=1,B149:CU149,0))</f>
        <v>0</v>
      </c>
    </row>
    <row r="150" spans="1:101" x14ac:dyDescent="0.25">
      <c r="A150" s="45">
        <v>146</v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19">
        <f t="array" ref="CV150">SUM(IF(MOD(COLUMN(B150:CU150),2)=0,B150:CU150,0))</f>
        <v>0</v>
      </c>
      <c r="CW150" s="38">
        <f t="array" ref="CW150">SUM(IF(MOD(COLUMN(B150:CU150),2)=1,B150:CU150,0))</f>
        <v>0</v>
      </c>
    </row>
    <row r="151" spans="1:101" x14ac:dyDescent="0.25">
      <c r="A151" s="45">
        <v>147</v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19">
        <f t="array" ref="CV151">SUM(IF(MOD(COLUMN(B151:CU151),2)=0,B151:CU151,0))</f>
        <v>0</v>
      </c>
      <c r="CW151" s="38">
        <f t="array" ref="CW151">SUM(IF(MOD(COLUMN(B151:CU151),2)=1,B151:CU151,0))</f>
        <v>0</v>
      </c>
    </row>
    <row r="152" spans="1:101" x14ac:dyDescent="0.25">
      <c r="A152" s="45">
        <v>148</v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19">
        <f t="array" ref="CV152">SUM(IF(MOD(COLUMN(B152:CU152),2)=0,B152:CU152,0))</f>
        <v>0</v>
      </c>
      <c r="CW152" s="38">
        <f t="array" ref="CW152">SUM(IF(MOD(COLUMN(B152:CU152),2)=1,B152:CU152,0))</f>
        <v>0</v>
      </c>
    </row>
    <row r="153" spans="1:101" x14ac:dyDescent="0.25">
      <c r="A153" s="45">
        <v>149</v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19">
        <f t="array" ref="CV153">SUM(IF(MOD(COLUMN(B153:CU153),2)=0,B153:CU153,0))</f>
        <v>0</v>
      </c>
      <c r="CW153" s="38">
        <f t="array" ref="CW153">SUM(IF(MOD(COLUMN(B153:CU153),2)=1,B153:CU153,0))</f>
        <v>0</v>
      </c>
    </row>
    <row r="154" spans="1:101" x14ac:dyDescent="0.25">
      <c r="A154" s="45">
        <v>150</v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19">
        <f t="array" ref="CV154">SUM(IF(MOD(COLUMN(B154:CU154),2)=0,B154:CU154,0))</f>
        <v>0</v>
      </c>
      <c r="CW154" s="38">
        <f t="array" ref="CW154">SUM(IF(MOD(COLUMN(B154:CU154),2)=1,B154:CU154,0))</f>
        <v>0</v>
      </c>
    </row>
    <row r="155" spans="1:101" x14ac:dyDescent="0.25">
      <c r="A155" s="45">
        <v>151</v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19">
        <f t="array" ref="CV155">SUM(IF(MOD(COLUMN(B155:CU155),2)=0,B155:CU155,0))</f>
        <v>0</v>
      </c>
      <c r="CW155" s="38">
        <f t="array" ref="CW155">SUM(IF(MOD(COLUMN(B155:CU155),2)=1,B155:CU155,0))</f>
        <v>0</v>
      </c>
    </row>
    <row r="156" spans="1:101" x14ac:dyDescent="0.25">
      <c r="A156" s="45">
        <v>152</v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19">
        <f t="array" ref="CV156">SUM(IF(MOD(COLUMN(B156:CU156),2)=0,B156:CU156,0))</f>
        <v>0</v>
      </c>
      <c r="CW156" s="38">
        <f t="array" ref="CW156">SUM(IF(MOD(COLUMN(B156:CU156),2)=1,B156:CU156,0))</f>
        <v>0</v>
      </c>
    </row>
    <row r="157" spans="1:101" x14ac:dyDescent="0.25">
      <c r="A157" s="45">
        <v>153</v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19">
        <f t="array" ref="CV157">SUM(IF(MOD(COLUMN(B157:CU157),2)=0,B157:CU157,0))</f>
        <v>0</v>
      </c>
      <c r="CW157" s="38">
        <f t="array" ref="CW157">SUM(IF(MOD(COLUMN(B157:CU157),2)=1,B157:CU157,0))</f>
        <v>0</v>
      </c>
    </row>
    <row r="158" spans="1:101" x14ac:dyDescent="0.25">
      <c r="A158" s="45">
        <v>154</v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19">
        <f t="array" ref="CV158">SUM(IF(MOD(COLUMN(B158:CU158),2)=0,B158:CU158,0))</f>
        <v>0</v>
      </c>
      <c r="CW158" s="38">
        <f t="array" ref="CW158">SUM(IF(MOD(COLUMN(B158:CU158),2)=1,B158:CU158,0))</f>
        <v>0</v>
      </c>
    </row>
    <row r="159" spans="1:101" x14ac:dyDescent="0.25">
      <c r="A159" s="45">
        <v>155</v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19">
        <f t="array" ref="CV159">SUM(IF(MOD(COLUMN(B159:CU159),2)=0,B159:CU159,0))</f>
        <v>0</v>
      </c>
      <c r="CW159" s="38">
        <f t="array" ref="CW159">SUM(IF(MOD(COLUMN(B159:CU159),2)=1,B159:CU159,0))</f>
        <v>0</v>
      </c>
    </row>
    <row r="160" spans="1:101" x14ac:dyDescent="0.25">
      <c r="A160" s="45">
        <v>156</v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19">
        <f t="array" ref="CV160">SUM(IF(MOD(COLUMN(B160:CU160),2)=0,B160:CU160,0))</f>
        <v>0</v>
      </c>
      <c r="CW160" s="38">
        <f t="array" ref="CW160">SUM(IF(MOD(COLUMN(B160:CU160),2)=1,B160:CU160,0))</f>
        <v>0</v>
      </c>
    </row>
    <row r="161" spans="1:101" x14ac:dyDescent="0.25">
      <c r="A161" s="45">
        <v>157</v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19">
        <f t="array" ref="CV161">SUM(IF(MOD(COLUMN(B161:CU161),2)=0,B161:CU161,0))</f>
        <v>0</v>
      </c>
      <c r="CW161" s="38">
        <f t="array" ref="CW161">SUM(IF(MOD(COLUMN(B161:CU161),2)=1,B161:CU161,0))</f>
        <v>0</v>
      </c>
    </row>
    <row r="162" spans="1:101" x14ac:dyDescent="0.25">
      <c r="A162" s="45">
        <v>158</v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19">
        <f t="array" ref="CV162">SUM(IF(MOD(COLUMN(B162:CU162),2)=0,B162:CU162,0))</f>
        <v>0</v>
      </c>
      <c r="CW162" s="38">
        <f t="array" ref="CW162">SUM(IF(MOD(COLUMN(B162:CU162),2)=1,B162:CU162,0))</f>
        <v>0</v>
      </c>
    </row>
    <row r="163" spans="1:101" x14ac:dyDescent="0.25">
      <c r="A163" s="45">
        <v>159</v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19">
        <f t="array" ref="CV163">SUM(IF(MOD(COLUMN(B163:CU163),2)=0,B163:CU163,0))</f>
        <v>0</v>
      </c>
      <c r="CW163" s="38">
        <f t="array" ref="CW163">SUM(IF(MOD(COLUMN(B163:CU163),2)=1,B163:CU163,0))</f>
        <v>0</v>
      </c>
    </row>
    <row r="164" spans="1:101" x14ac:dyDescent="0.25">
      <c r="A164" s="45">
        <v>160</v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19">
        <f t="array" ref="CV164">SUM(IF(MOD(COLUMN(B164:CU164),2)=0,B164:CU164,0))</f>
        <v>0</v>
      </c>
      <c r="CW164" s="38">
        <f t="array" ref="CW164">SUM(IF(MOD(COLUMN(B164:CU164),2)=1,B164:CU164,0))</f>
        <v>0</v>
      </c>
    </row>
    <row r="165" spans="1:101" x14ac:dyDescent="0.25">
      <c r="A165" s="45">
        <v>161</v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19">
        <f t="array" ref="CV165">SUM(IF(MOD(COLUMN(B165:CU165),2)=0,B165:CU165,0))</f>
        <v>0</v>
      </c>
      <c r="CW165" s="38">
        <f t="array" ref="CW165">SUM(IF(MOD(COLUMN(B165:CU165),2)=1,B165:CU165,0))</f>
        <v>0</v>
      </c>
    </row>
    <row r="166" spans="1:101" x14ac:dyDescent="0.25">
      <c r="A166" s="45">
        <v>162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19">
        <f t="array" ref="CV166">SUM(IF(MOD(COLUMN(B166:CU166),2)=0,B166:CU166,0))</f>
        <v>0</v>
      </c>
      <c r="CW166" s="38">
        <f t="array" ref="CW166">SUM(IF(MOD(COLUMN(B166:CU166),2)=1,B166:CU166,0))</f>
        <v>0</v>
      </c>
    </row>
    <row r="167" spans="1:101" x14ac:dyDescent="0.25">
      <c r="A167" s="45">
        <v>163</v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19">
        <f t="array" ref="CV167">SUM(IF(MOD(COLUMN(B167:CU167),2)=0,B167:CU167,0))</f>
        <v>0</v>
      </c>
      <c r="CW167" s="38">
        <f t="array" ref="CW167">SUM(IF(MOD(COLUMN(B167:CU167),2)=1,B167:CU167,0))</f>
        <v>0</v>
      </c>
    </row>
    <row r="168" spans="1:101" x14ac:dyDescent="0.25">
      <c r="A168" s="45">
        <v>164</v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19">
        <f t="array" ref="CV168">SUM(IF(MOD(COLUMN(B168:CU168),2)=0,B168:CU168,0))</f>
        <v>0</v>
      </c>
      <c r="CW168" s="38">
        <f t="array" ref="CW168">SUM(IF(MOD(COLUMN(B168:CU168),2)=1,B168:CU168,0))</f>
        <v>0</v>
      </c>
    </row>
    <row r="169" spans="1:101" x14ac:dyDescent="0.25">
      <c r="A169" s="45">
        <v>165</v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19">
        <f t="array" ref="CV169">SUM(IF(MOD(COLUMN(B169:CU169),2)=0,B169:CU169,0))</f>
        <v>0</v>
      </c>
      <c r="CW169" s="38">
        <f t="array" ref="CW169">SUM(IF(MOD(COLUMN(B169:CU169),2)=1,B169:CU169,0))</f>
        <v>0</v>
      </c>
    </row>
    <row r="170" spans="1:101" x14ac:dyDescent="0.25">
      <c r="A170" s="45">
        <v>166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19">
        <f t="array" ref="CV170">SUM(IF(MOD(COLUMN(B170:CU170),2)=0,B170:CU170,0))</f>
        <v>0</v>
      </c>
      <c r="CW170" s="38">
        <f t="array" ref="CW170">SUM(IF(MOD(COLUMN(B170:CU170),2)=1,B170:CU170,0))</f>
        <v>0</v>
      </c>
    </row>
    <row r="171" spans="1:101" x14ac:dyDescent="0.25">
      <c r="A171" s="45">
        <v>167</v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19">
        <f t="array" ref="CV171">SUM(IF(MOD(COLUMN(B171:CU171),2)=0,B171:CU171,0))</f>
        <v>0</v>
      </c>
      <c r="CW171" s="38">
        <f t="array" ref="CW171">SUM(IF(MOD(COLUMN(B171:CU171),2)=1,B171:CU171,0))</f>
        <v>0</v>
      </c>
    </row>
    <row r="172" spans="1:101" x14ac:dyDescent="0.25">
      <c r="A172" s="45">
        <v>168</v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19">
        <f t="array" ref="CV172">SUM(IF(MOD(COLUMN(B172:CU172),2)=0,B172:CU172,0))</f>
        <v>0</v>
      </c>
      <c r="CW172" s="38">
        <f t="array" ref="CW172">SUM(IF(MOD(COLUMN(B172:CU172),2)=1,B172:CU172,0))</f>
        <v>0</v>
      </c>
    </row>
    <row r="173" spans="1:101" x14ac:dyDescent="0.25">
      <c r="A173" s="45">
        <v>169</v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19">
        <f t="array" ref="CV173">SUM(IF(MOD(COLUMN(B173:CU173),2)=0,B173:CU173,0))</f>
        <v>0</v>
      </c>
      <c r="CW173" s="38">
        <f t="array" ref="CW173">SUM(IF(MOD(COLUMN(B173:CU173),2)=1,B173:CU173,0))</f>
        <v>0</v>
      </c>
    </row>
    <row r="174" spans="1:101" x14ac:dyDescent="0.25">
      <c r="A174" s="45">
        <v>170</v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19">
        <f t="array" ref="CV174">SUM(IF(MOD(COLUMN(B174:CU174),2)=0,B174:CU174,0))</f>
        <v>0</v>
      </c>
      <c r="CW174" s="38">
        <f t="array" ref="CW174">SUM(IF(MOD(COLUMN(B174:CU174),2)=1,B174:CU174,0))</f>
        <v>0</v>
      </c>
    </row>
    <row r="175" spans="1:101" x14ac:dyDescent="0.25">
      <c r="A175" s="45">
        <v>171</v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19">
        <f t="array" ref="CV175">SUM(IF(MOD(COLUMN(B175:CU175),2)=0,B175:CU175,0))</f>
        <v>0</v>
      </c>
      <c r="CW175" s="38">
        <f t="array" ref="CW175">SUM(IF(MOD(COLUMN(B175:CU175),2)=1,B175:CU175,0))</f>
        <v>0</v>
      </c>
    </row>
    <row r="176" spans="1:101" x14ac:dyDescent="0.25">
      <c r="A176" s="45">
        <v>172</v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19">
        <f t="array" ref="CV176">SUM(IF(MOD(COLUMN(B176:CU176),2)=0,B176:CU176,0))</f>
        <v>0</v>
      </c>
      <c r="CW176" s="38">
        <f t="array" ref="CW176">SUM(IF(MOD(COLUMN(B176:CU176),2)=1,B176:CU176,0))</f>
        <v>0</v>
      </c>
    </row>
    <row r="177" spans="1:101" x14ac:dyDescent="0.25">
      <c r="A177" s="45">
        <v>173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19">
        <f t="array" ref="CV177">SUM(IF(MOD(COLUMN(B177:CU177),2)=0,B177:CU177,0))</f>
        <v>0</v>
      </c>
      <c r="CW177" s="38">
        <f t="array" ref="CW177">SUM(IF(MOD(COLUMN(B177:CU177),2)=1,B177:CU177,0))</f>
        <v>0</v>
      </c>
    </row>
    <row r="178" spans="1:101" x14ac:dyDescent="0.25">
      <c r="A178" s="45">
        <v>174</v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19">
        <f t="array" ref="CV178">SUM(IF(MOD(COLUMN(B178:CU178),2)=0,B178:CU178,0))</f>
        <v>0</v>
      </c>
      <c r="CW178" s="38">
        <f t="array" ref="CW178">SUM(IF(MOD(COLUMN(B178:CU178),2)=1,B178:CU178,0))</f>
        <v>0</v>
      </c>
    </row>
    <row r="179" spans="1:101" x14ac:dyDescent="0.25">
      <c r="A179" s="45">
        <v>175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19">
        <f t="array" ref="CV179">SUM(IF(MOD(COLUMN(B179:CU179),2)=0,B179:CU179,0))</f>
        <v>0</v>
      </c>
      <c r="CW179" s="38">
        <f t="array" ref="CW179">SUM(IF(MOD(COLUMN(B179:CU179),2)=1,B179:CU179,0))</f>
        <v>0</v>
      </c>
    </row>
    <row r="180" spans="1:101" x14ac:dyDescent="0.25">
      <c r="A180" s="45">
        <v>176</v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19">
        <f t="array" ref="CV180">SUM(IF(MOD(COLUMN(B180:CU180),2)=0,B180:CU180,0))</f>
        <v>0</v>
      </c>
      <c r="CW180" s="38">
        <f t="array" ref="CW180">SUM(IF(MOD(COLUMN(B180:CU180),2)=1,B180:CU180,0))</f>
        <v>0</v>
      </c>
    </row>
    <row r="181" spans="1:101" x14ac:dyDescent="0.25">
      <c r="A181" s="45">
        <v>177</v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19">
        <f t="array" ref="CV181">SUM(IF(MOD(COLUMN(B181:CU181),2)=0,B181:CU181,0))</f>
        <v>0</v>
      </c>
      <c r="CW181" s="38">
        <f t="array" ref="CW181">SUM(IF(MOD(COLUMN(B181:CU181),2)=1,B181:CU181,0))</f>
        <v>0</v>
      </c>
    </row>
    <row r="182" spans="1:101" x14ac:dyDescent="0.25">
      <c r="A182" s="45">
        <v>178</v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19">
        <f t="array" ref="CV182">SUM(IF(MOD(COLUMN(B182:CU182),2)=0,B182:CU182,0))</f>
        <v>0</v>
      </c>
      <c r="CW182" s="38">
        <f t="array" ref="CW182">SUM(IF(MOD(COLUMN(B182:CU182),2)=1,B182:CU182,0))</f>
        <v>0</v>
      </c>
    </row>
    <row r="183" spans="1:101" x14ac:dyDescent="0.25">
      <c r="A183" s="45">
        <v>179</v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19">
        <f t="array" ref="CV183">SUM(IF(MOD(COLUMN(B183:CU183),2)=0,B183:CU183,0))</f>
        <v>0</v>
      </c>
      <c r="CW183" s="38">
        <f t="array" ref="CW183">SUM(IF(MOD(COLUMN(B183:CU183),2)=1,B183:CU183,0))</f>
        <v>0</v>
      </c>
    </row>
    <row r="184" spans="1:101" x14ac:dyDescent="0.25">
      <c r="A184" s="45">
        <v>180</v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19">
        <f t="array" ref="CV184">SUM(IF(MOD(COLUMN(B184:CU184),2)=0,B184:CU184,0))</f>
        <v>0</v>
      </c>
      <c r="CW184" s="38">
        <f t="array" ref="CW184">SUM(IF(MOD(COLUMN(B184:CU184),2)=1,B184:CU184,0))</f>
        <v>0</v>
      </c>
    </row>
    <row r="185" spans="1:101" x14ac:dyDescent="0.25">
      <c r="A185" s="45">
        <v>181</v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19">
        <f t="array" ref="CV185">SUM(IF(MOD(COLUMN(B185:CU185),2)=0,B185:CU185,0))</f>
        <v>0</v>
      </c>
      <c r="CW185" s="38">
        <f t="array" ref="CW185">SUM(IF(MOD(COLUMN(B185:CU185),2)=1,B185:CU185,0))</f>
        <v>0</v>
      </c>
    </row>
    <row r="186" spans="1:101" x14ac:dyDescent="0.25">
      <c r="A186" s="45">
        <v>182</v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19">
        <f t="array" ref="CV186">SUM(IF(MOD(COLUMN(B186:CU186),2)=0,B186:CU186,0))</f>
        <v>0</v>
      </c>
      <c r="CW186" s="38">
        <f t="array" ref="CW186">SUM(IF(MOD(COLUMN(B186:CU186),2)=1,B186:CU186,0))</f>
        <v>0</v>
      </c>
    </row>
    <row r="187" spans="1:101" x14ac:dyDescent="0.25">
      <c r="A187" s="45">
        <v>183</v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19">
        <f t="array" ref="CV187">SUM(IF(MOD(COLUMN(B187:CU187),2)=0,B187:CU187,0))</f>
        <v>0</v>
      </c>
      <c r="CW187" s="38">
        <f t="array" ref="CW187">SUM(IF(MOD(COLUMN(B187:CU187),2)=1,B187:CU187,0))</f>
        <v>0</v>
      </c>
    </row>
    <row r="188" spans="1:101" x14ac:dyDescent="0.25">
      <c r="A188" s="45">
        <v>184</v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19">
        <f t="array" ref="CV188">SUM(IF(MOD(COLUMN(B188:CU188),2)=0,B188:CU188,0))</f>
        <v>0</v>
      </c>
      <c r="CW188" s="38">
        <f t="array" ref="CW188">SUM(IF(MOD(COLUMN(B188:CU188),2)=1,B188:CU188,0))</f>
        <v>0</v>
      </c>
    </row>
    <row r="189" spans="1:101" x14ac:dyDescent="0.25">
      <c r="A189" s="45">
        <v>185</v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19">
        <f t="array" ref="CV189">SUM(IF(MOD(COLUMN(B189:CU189),2)=0,B189:CU189,0))</f>
        <v>0</v>
      </c>
      <c r="CW189" s="38">
        <f t="array" ref="CW189">SUM(IF(MOD(COLUMN(B189:CU189),2)=1,B189:CU189,0))</f>
        <v>0</v>
      </c>
    </row>
    <row r="190" spans="1:101" x14ac:dyDescent="0.25">
      <c r="A190" s="45">
        <v>186</v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19">
        <f t="array" ref="CV190">SUM(IF(MOD(COLUMN(B190:CU190),2)=0,B190:CU190,0))</f>
        <v>0</v>
      </c>
      <c r="CW190" s="38">
        <f t="array" ref="CW190">SUM(IF(MOD(COLUMN(B190:CU190),2)=1,B190:CU190,0))</f>
        <v>0</v>
      </c>
    </row>
    <row r="191" spans="1:101" x14ac:dyDescent="0.25">
      <c r="A191" s="45">
        <v>187</v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19">
        <f t="array" ref="CV191">SUM(IF(MOD(COLUMN(B191:CU191),2)=0,B191:CU191,0))</f>
        <v>0</v>
      </c>
      <c r="CW191" s="38">
        <f t="array" ref="CW191">SUM(IF(MOD(COLUMN(B191:CU191),2)=1,B191:CU191,0))</f>
        <v>0</v>
      </c>
    </row>
    <row r="192" spans="1:101" x14ac:dyDescent="0.25">
      <c r="A192" s="45">
        <v>188</v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19">
        <f t="array" ref="CV192">SUM(IF(MOD(COLUMN(B192:CU192),2)=0,B192:CU192,0))</f>
        <v>0</v>
      </c>
      <c r="CW192" s="38">
        <f t="array" ref="CW192">SUM(IF(MOD(COLUMN(B192:CU192),2)=1,B192:CU192,0))</f>
        <v>0</v>
      </c>
    </row>
    <row r="193" spans="1:101" x14ac:dyDescent="0.25">
      <c r="A193" s="45">
        <v>189</v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19">
        <f t="array" ref="CV193">SUM(IF(MOD(COLUMN(B193:CU193),2)=0,B193:CU193,0))</f>
        <v>0</v>
      </c>
      <c r="CW193" s="38">
        <f t="array" ref="CW193">SUM(IF(MOD(COLUMN(B193:CU193),2)=1,B193:CU193,0))</f>
        <v>0</v>
      </c>
    </row>
    <row r="194" spans="1:101" x14ac:dyDescent="0.25">
      <c r="A194" s="45">
        <v>190</v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19">
        <f t="array" ref="CV194">SUM(IF(MOD(COLUMN(B194:CU194),2)=0,B194:CU194,0))</f>
        <v>0</v>
      </c>
      <c r="CW194" s="38">
        <f t="array" ref="CW194">SUM(IF(MOD(COLUMN(B194:CU194),2)=1,B194:CU194,0))</f>
        <v>0</v>
      </c>
    </row>
    <row r="195" spans="1:101" x14ac:dyDescent="0.25">
      <c r="A195" s="45">
        <v>191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19">
        <f t="array" ref="CV195">SUM(IF(MOD(COLUMN(B195:CU195),2)=0,B195:CU195,0))</f>
        <v>0</v>
      </c>
      <c r="CW195" s="38">
        <f t="array" ref="CW195">SUM(IF(MOD(COLUMN(B195:CU195),2)=1,B195:CU195,0))</f>
        <v>0</v>
      </c>
    </row>
    <row r="196" spans="1:101" x14ac:dyDescent="0.25">
      <c r="A196" s="45">
        <v>192</v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19">
        <f t="array" ref="CV196">SUM(IF(MOD(COLUMN(B196:CU196),2)=0,B196:CU196,0))</f>
        <v>0</v>
      </c>
      <c r="CW196" s="38">
        <f t="array" ref="CW196">SUM(IF(MOD(COLUMN(B196:CU196),2)=1,B196:CU196,0))</f>
        <v>0</v>
      </c>
    </row>
    <row r="197" spans="1:101" x14ac:dyDescent="0.25">
      <c r="A197" s="45">
        <v>193</v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19">
        <f t="array" ref="CV197">SUM(IF(MOD(COLUMN(B197:CU197),2)=0,B197:CU197,0))</f>
        <v>0</v>
      </c>
      <c r="CW197" s="38">
        <f t="array" ref="CW197">SUM(IF(MOD(COLUMN(B197:CU197),2)=1,B197:CU197,0))</f>
        <v>0</v>
      </c>
    </row>
    <row r="198" spans="1:101" x14ac:dyDescent="0.25">
      <c r="A198" s="45">
        <v>194</v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19">
        <f t="array" ref="CV198">SUM(IF(MOD(COLUMN(B198:CU198),2)=0,B198:CU198,0))</f>
        <v>0</v>
      </c>
      <c r="CW198" s="38">
        <f t="array" ref="CW198">SUM(IF(MOD(COLUMN(B198:CU198),2)=1,B198:CU198,0))</f>
        <v>0</v>
      </c>
    </row>
    <row r="199" spans="1:101" x14ac:dyDescent="0.25">
      <c r="A199" s="45">
        <v>195</v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19">
        <f t="array" ref="CV199">SUM(IF(MOD(COLUMN(B199:CU199),2)=0,B199:CU199,0))</f>
        <v>0</v>
      </c>
      <c r="CW199" s="38">
        <f t="array" ref="CW199">SUM(IF(MOD(COLUMN(B199:CU199),2)=1,B199:CU199,0))</f>
        <v>0</v>
      </c>
    </row>
    <row r="200" spans="1:101" x14ac:dyDescent="0.25">
      <c r="A200" s="45">
        <v>196</v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19">
        <f t="array" ref="CV200">SUM(IF(MOD(COLUMN(B200:CU200),2)=0,B200:CU200,0))</f>
        <v>0</v>
      </c>
      <c r="CW200" s="38">
        <f t="array" ref="CW200">SUM(IF(MOD(COLUMN(B200:CU200),2)=1,B200:CU200,0))</f>
        <v>0</v>
      </c>
    </row>
    <row r="201" spans="1:101" x14ac:dyDescent="0.25">
      <c r="A201" s="45">
        <v>197</v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19">
        <f t="array" ref="CV201">SUM(IF(MOD(COLUMN(B201:CU201),2)=0,B201:CU201,0))</f>
        <v>0</v>
      </c>
      <c r="CW201" s="38">
        <f t="array" ref="CW201">SUM(IF(MOD(COLUMN(B201:CU201),2)=1,B201:CU201,0))</f>
        <v>0</v>
      </c>
    </row>
    <row r="202" spans="1:101" x14ac:dyDescent="0.25">
      <c r="A202" s="45">
        <v>198</v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19">
        <f t="array" ref="CV202">SUM(IF(MOD(COLUMN(B202:CU202),2)=0,B202:CU202,0))</f>
        <v>0</v>
      </c>
      <c r="CW202" s="38">
        <f t="array" ref="CW202">SUM(IF(MOD(COLUMN(B202:CU202),2)=1,B202:CU202,0))</f>
        <v>0</v>
      </c>
    </row>
    <row r="203" spans="1:101" x14ac:dyDescent="0.25">
      <c r="A203" s="45">
        <v>199</v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19">
        <f t="array" ref="CV203">SUM(IF(MOD(COLUMN(B203:CU203),2)=0,B203:CU203,0))</f>
        <v>0</v>
      </c>
      <c r="CW203" s="38">
        <f t="array" ref="CW203">SUM(IF(MOD(COLUMN(B203:CU203),2)=1,B203:CU203,0))</f>
        <v>0</v>
      </c>
    </row>
    <row r="204" spans="1:101" x14ac:dyDescent="0.25">
      <c r="A204" s="45">
        <v>200</v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19">
        <f t="array" ref="CV204">SUM(IF(MOD(COLUMN(B204:CU204),2)=0,B204:CU204,0))</f>
        <v>0</v>
      </c>
      <c r="CW204" s="38">
        <f t="array" ref="CW204">SUM(IF(MOD(COLUMN(B204:CU204),2)=1,B204:CU204,0))</f>
        <v>0</v>
      </c>
    </row>
    <row r="205" spans="1:101" x14ac:dyDescent="0.25">
      <c r="A205" s="45">
        <v>201</v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19">
        <f t="array" ref="CV205">SUM(IF(MOD(COLUMN(B205:CU205),2)=0,B205:CU205,0))</f>
        <v>0</v>
      </c>
      <c r="CW205" s="38">
        <f t="array" ref="CW205">SUM(IF(MOD(COLUMN(B205:CU205),2)=1,B205:CU205,0))</f>
        <v>0</v>
      </c>
    </row>
    <row r="206" spans="1:101" x14ac:dyDescent="0.25">
      <c r="A206" s="45">
        <v>202</v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19">
        <f t="array" ref="CV206">SUM(IF(MOD(COLUMN(B206:CU206),2)=0,B206:CU206,0))</f>
        <v>0</v>
      </c>
      <c r="CW206" s="38">
        <f t="array" ref="CW206">SUM(IF(MOD(COLUMN(B206:CU206),2)=1,B206:CU206,0))</f>
        <v>0</v>
      </c>
    </row>
    <row r="207" spans="1:101" x14ac:dyDescent="0.25">
      <c r="A207" s="45">
        <v>203</v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19">
        <f t="array" ref="CV207">SUM(IF(MOD(COLUMN(B207:CU207),2)=0,B207:CU207,0))</f>
        <v>0</v>
      </c>
      <c r="CW207" s="38">
        <f t="array" ref="CW207">SUM(IF(MOD(COLUMN(B207:CU207),2)=1,B207:CU207,0))</f>
        <v>0</v>
      </c>
    </row>
    <row r="208" spans="1:101" x14ac:dyDescent="0.25">
      <c r="A208" s="45">
        <v>204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19">
        <f t="array" ref="CV208">SUM(IF(MOD(COLUMN(B208:CU208),2)=0,B208:CU208,0))</f>
        <v>0</v>
      </c>
      <c r="CW208" s="38">
        <f t="array" ref="CW208">SUM(IF(MOD(COLUMN(B208:CU208),2)=1,B208:CU208,0))</f>
        <v>0</v>
      </c>
    </row>
    <row r="209" spans="1:101" x14ac:dyDescent="0.25">
      <c r="A209" s="45">
        <v>205</v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19">
        <f t="array" ref="CV209">SUM(IF(MOD(COLUMN(B209:CU209),2)=0,B209:CU209,0))</f>
        <v>0</v>
      </c>
      <c r="CW209" s="38">
        <f t="array" ref="CW209">SUM(IF(MOD(COLUMN(B209:CU209),2)=1,B209:CU209,0))</f>
        <v>0</v>
      </c>
    </row>
    <row r="210" spans="1:101" x14ac:dyDescent="0.25">
      <c r="A210" s="45">
        <v>206</v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19">
        <f t="array" ref="CV210">SUM(IF(MOD(COLUMN(B210:CU210),2)=0,B210:CU210,0))</f>
        <v>0</v>
      </c>
      <c r="CW210" s="38">
        <f t="array" ref="CW210">SUM(IF(MOD(COLUMN(B210:CU210),2)=1,B210:CU210,0))</f>
        <v>0</v>
      </c>
    </row>
    <row r="211" spans="1:101" x14ac:dyDescent="0.25">
      <c r="A211" s="45">
        <v>207</v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19">
        <f t="array" ref="CV211">SUM(IF(MOD(COLUMN(B211:CU211),2)=0,B211:CU211,0))</f>
        <v>0</v>
      </c>
      <c r="CW211" s="38">
        <f t="array" ref="CW211">SUM(IF(MOD(COLUMN(B211:CU211),2)=1,B211:CU211,0))</f>
        <v>0</v>
      </c>
    </row>
    <row r="212" spans="1:101" x14ac:dyDescent="0.25">
      <c r="A212" s="45">
        <v>208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19">
        <f t="array" ref="CV212">SUM(IF(MOD(COLUMN(B212:CU212),2)=0,B212:CU212,0))</f>
        <v>0</v>
      </c>
      <c r="CW212" s="38">
        <f t="array" ref="CW212">SUM(IF(MOD(COLUMN(B212:CU212),2)=1,B212:CU212,0))</f>
        <v>0</v>
      </c>
    </row>
    <row r="213" spans="1:101" x14ac:dyDescent="0.25">
      <c r="A213" s="45">
        <v>209</v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19">
        <f t="array" ref="CV213">SUM(IF(MOD(COLUMN(B213:CU213),2)=0,B213:CU213,0))</f>
        <v>0</v>
      </c>
      <c r="CW213" s="38">
        <f t="array" ref="CW213">SUM(IF(MOD(COLUMN(B213:CU213),2)=1,B213:CU213,0))</f>
        <v>0</v>
      </c>
    </row>
    <row r="214" spans="1:101" x14ac:dyDescent="0.25">
      <c r="A214" s="45">
        <v>210</v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19">
        <f t="array" ref="CV214">SUM(IF(MOD(COLUMN(B214:CU214),2)=0,B214:CU214,0))</f>
        <v>0</v>
      </c>
      <c r="CW214" s="38">
        <f t="array" ref="CW214">SUM(IF(MOD(COLUMN(B214:CU214),2)=1,B214:CU214,0))</f>
        <v>0</v>
      </c>
    </row>
    <row r="215" spans="1:101" x14ac:dyDescent="0.25">
      <c r="A215" s="45">
        <v>211</v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19">
        <f t="array" ref="CV215">SUM(IF(MOD(COLUMN(B215:CU215),2)=0,B215:CU215,0))</f>
        <v>0</v>
      </c>
      <c r="CW215" s="38">
        <f t="array" ref="CW215">SUM(IF(MOD(COLUMN(B215:CU215),2)=1,B215:CU215,0))</f>
        <v>0</v>
      </c>
    </row>
    <row r="216" spans="1:101" x14ac:dyDescent="0.25">
      <c r="A216" s="45">
        <v>212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19">
        <f t="array" ref="CV216">SUM(IF(MOD(COLUMN(B216:CU216),2)=0,B216:CU216,0))</f>
        <v>0</v>
      </c>
      <c r="CW216" s="38">
        <f t="array" ref="CW216">SUM(IF(MOD(COLUMN(B216:CU216),2)=1,B216:CU216,0))</f>
        <v>0</v>
      </c>
    </row>
    <row r="217" spans="1:101" x14ac:dyDescent="0.25">
      <c r="A217" s="45">
        <v>213</v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19">
        <f t="array" ref="CV217">SUM(IF(MOD(COLUMN(B217:CU217),2)=0,B217:CU217,0))</f>
        <v>0</v>
      </c>
      <c r="CW217" s="38">
        <f t="array" ref="CW217">SUM(IF(MOD(COLUMN(B217:CU217),2)=1,B217:CU217,0))</f>
        <v>0</v>
      </c>
    </row>
    <row r="218" spans="1:101" x14ac:dyDescent="0.25">
      <c r="A218" s="45">
        <v>214</v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19">
        <f t="array" ref="CV218">SUM(IF(MOD(COLUMN(B218:CU218),2)=0,B218:CU218,0))</f>
        <v>0</v>
      </c>
      <c r="CW218" s="38">
        <f t="array" ref="CW218">SUM(IF(MOD(COLUMN(B218:CU218),2)=1,B218:CU218,0))</f>
        <v>0</v>
      </c>
    </row>
    <row r="219" spans="1:101" x14ac:dyDescent="0.25">
      <c r="A219" s="45">
        <v>215</v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19">
        <f t="array" ref="CV219">SUM(IF(MOD(COLUMN(B219:CU219),2)=0,B219:CU219,0))</f>
        <v>0</v>
      </c>
      <c r="CW219" s="38">
        <f t="array" ref="CW219">SUM(IF(MOD(COLUMN(B219:CU219),2)=1,B219:CU219,0))</f>
        <v>0</v>
      </c>
    </row>
    <row r="220" spans="1:101" x14ac:dyDescent="0.25">
      <c r="A220" s="45">
        <v>216</v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19">
        <f t="array" ref="CV220">SUM(IF(MOD(COLUMN(B220:CU220),2)=0,B220:CU220,0))</f>
        <v>0</v>
      </c>
      <c r="CW220" s="38">
        <f t="array" ref="CW220">SUM(IF(MOD(COLUMN(B220:CU220),2)=1,B220:CU220,0))</f>
        <v>0</v>
      </c>
    </row>
    <row r="221" spans="1:101" x14ac:dyDescent="0.25">
      <c r="A221" s="45">
        <v>217</v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19">
        <f t="array" ref="CV221">SUM(IF(MOD(COLUMN(B221:CU221),2)=0,B221:CU221,0))</f>
        <v>0</v>
      </c>
      <c r="CW221" s="38">
        <f t="array" ref="CW221">SUM(IF(MOD(COLUMN(B221:CU221),2)=1,B221:CU221,0))</f>
        <v>0</v>
      </c>
    </row>
    <row r="222" spans="1:101" x14ac:dyDescent="0.25">
      <c r="A222" s="45">
        <v>218</v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19">
        <f t="array" ref="CV222">SUM(IF(MOD(COLUMN(B222:CU222),2)=0,B222:CU222,0))</f>
        <v>0</v>
      </c>
      <c r="CW222" s="38">
        <f t="array" ref="CW222">SUM(IF(MOD(COLUMN(B222:CU222),2)=1,B222:CU222,0))</f>
        <v>0</v>
      </c>
    </row>
    <row r="223" spans="1:101" x14ac:dyDescent="0.25">
      <c r="A223" s="45">
        <v>219</v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19">
        <f t="array" ref="CV223">SUM(IF(MOD(COLUMN(B223:CU223),2)=0,B223:CU223,0))</f>
        <v>0</v>
      </c>
      <c r="CW223" s="38">
        <f t="array" ref="CW223">SUM(IF(MOD(COLUMN(B223:CU223),2)=1,B223:CU223,0))</f>
        <v>0</v>
      </c>
    </row>
    <row r="224" spans="1:101" x14ac:dyDescent="0.25">
      <c r="A224" s="45">
        <v>220</v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19">
        <f t="array" ref="CV224">SUM(IF(MOD(COLUMN(B224:CU224),2)=0,B224:CU224,0))</f>
        <v>0</v>
      </c>
      <c r="CW224" s="38">
        <f t="array" ref="CW224">SUM(IF(MOD(COLUMN(B224:CU224),2)=1,B224:CU224,0))</f>
        <v>0</v>
      </c>
    </row>
    <row r="225" spans="1:101" x14ac:dyDescent="0.25">
      <c r="A225" s="45">
        <v>221</v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19">
        <f t="array" ref="CV225">SUM(IF(MOD(COLUMN(B225:CU225),2)=0,B225:CU225,0))</f>
        <v>0</v>
      </c>
      <c r="CW225" s="38">
        <f t="array" ref="CW225">SUM(IF(MOD(COLUMN(B225:CU225),2)=1,B225:CU225,0))</f>
        <v>0</v>
      </c>
    </row>
    <row r="226" spans="1:101" x14ac:dyDescent="0.25">
      <c r="A226" s="45">
        <v>222</v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19">
        <f t="array" ref="CV226">SUM(IF(MOD(COLUMN(B226:CU226),2)=0,B226:CU226,0))</f>
        <v>0</v>
      </c>
      <c r="CW226" s="38">
        <f t="array" ref="CW226">SUM(IF(MOD(COLUMN(B226:CU226),2)=1,B226:CU226,0))</f>
        <v>0</v>
      </c>
    </row>
    <row r="227" spans="1:101" x14ac:dyDescent="0.25">
      <c r="A227" s="45">
        <v>223</v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19">
        <f t="array" ref="CV227">SUM(IF(MOD(COLUMN(B227:CU227),2)=0,B227:CU227,0))</f>
        <v>0</v>
      </c>
      <c r="CW227" s="38">
        <f t="array" ref="CW227">SUM(IF(MOD(COLUMN(B227:CU227),2)=1,B227:CU227,0))</f>
        <v>0</v>
      </c>
    </row>
    <row r="228" spans="1:101" x14ac:dyDescent="0.25">
      <c r="A228" s="45">
        <v>224</v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19">
        <f t="array" ref="CV228">SUM(IF(MOD(COLUMN(B228:CU228),2)=0,B228:CU228,0))</f>
        <v>0</v>
      </c>
      <c r="CW228" s="38">
        <f t="array" ref="CW228">SUM(IF(MOD(COLUMN(B228:CU228),2)=1,B228:CU228,0))</f>
        <v>0</v>
      </c>
    </row>
    <row r="229" spans="1:101" x14ac:dyDescent="0.25">
      <c r="A229" s="45">
        <v>225</v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19">
        <f t="array" ref="CV229">SUM(IF(MOD(COLUMN(B229:CU229),2)=0,B229:CU229,0))</f>
        <v>0</v>
      </c>
      <c r="CW229" s="38">
        <f t="array" ref="CW229">SUM(IF(MOD(COLUMN(B229:CU229),2)=1,B229:CU229,0))</f>
        <v>0</v>
      </c>
    </row>
    <row r="230" spans="1:101" x14ac:dyDescent="0.25">
      <c r="A230" s="45">
        <v>226</v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19">
        <f t="array" ref="CV230">SUM(IF(MOD(COLUMN(B230:CU230),2)=0,B230:CU230,0))</f>
        <v>0</v>
      </c>
      <c r="CW230" s="38">
        <f t="array" ref="CW230">SUM(IF(MOD(COLUMN(B230:CU230),2)=1,B230:CU230,0))</f>
        <v>0</v>
      </c>
    </row>
    <row r="231" spans="1:101" x14ac:dyDescent="0.25">
      <c r="A231" s="45">
        <v>227</v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19">
        <f t="array" ref="CV231">SUM(IF(MOD(COLUMN(B231:CU231),2)=0,B231:CU231,0))</f>
        <v>0</v>
      </c>
      <c r="CW231" s="38">
        <f t="array" ref="CW231">SUM(IF(MOD(COLUMN(B231:CU231),2)=1,B231:CU231,0))</f>
        <v>0</v>
      </c>
    </row>
    <row r="232" spans="1:101" x14ac:dyDescent="0.25">
      <c r="A232" s="45">
        <v>228</v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19">
        <f t="array" ref="CV232">SUM(IF(MOD(COLUMN(B232:CU232),2)=0,B232:CU232,0))</f>
        <v>0</v>
      </c>
      <c r="CW232" s="38">
        <f t="array" ref="CW232">SUM(IF(MOD(COLUMN(B232:CU232),2)=1,B232:CU232,0))</f>
        <v>0</v>
      </c>
    </row>
    <row r="233" spans="1:101" x14ac:dyDescent="0.25">
      <c r="A233" s="45">
        <v>229</v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19">
        <f t="array" ref="CV233">SUM(IF(MOD(COLUMN(B233:CU233),2)=0,B233:CU233,0))</f>
        <v>0</v>
      </c>
      <c r="CW233" s="38">
        <f t="array" ref="CW233">SUM(IF(MOD(COLUMN(B233:CU233),2)=1,B233:CU233,0))</f>
        <v>0</v>
      </c>
    </row>
    <row r="234" spans="1:101" x14ac:dyDescent="0.25">
      <c r="A234" s="45">
        <v>230</v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19">
        <f t="array" ref="CV234">SUM(IF(MOD(COLUMN(B234:CU234),2)=0,B234:CU234,0))</f>
        <v>0</v>
      </c>
      <c r="CW234" s="38">
        <f t="array" ref="CW234">SUM(IF(MOD(COLUMN(B234:CU234),2)=1,B234:CU234,0))</f>
        <v>0</v>
      </c>
    </row>
    <row r="235" spans="1:101" x14ac:dyDescent="0.25">
      <c r="A235" s="45">
        <v>231</v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19">
        <f t="array" ref="CV235">SUM(IF(MOD(COLUMN(B235:CU235),2)=0,B235:CU235,0))</f>
        <v>0</v>
      </c>
      <c r="CW235" s="38">
        <f t="array" ref="CW235">SUM(IF(MOD(COLUMN(B235:CU235),2)=1,B235:CU235,0))</f>
        <v>0</v>
      </c>
    </row>
    <row r="236" spans="1:101" x14ac:dyDescent="0.25">
      <c r="A236" s="45">
        <v>232</v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19">
        <f t="array" ref="CV236">SUM(IF(MOD(COLUMN(B236:CU236),2)=0,B236:CU236,0))</f>
        <v>0</v>
      </c>
      <c r="CW236" s="38">
        <f t="array" ref="CW236">SUM(IF(MOD(COLUMN(B236:CU236),2)=1,B236:CU236,0))</f>
        <v>0</v>
      </c>
    </row>
    <row r="237" spans="1:101" x14ac:dyDescent="0.25">
      <c r="A237" s="45">
        <v>233</v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19">
        <f t="array" ref="CV237">SUM(IF(MOD(COLUMN(B237:CU237),2)=0,B237:CU237,0))</f>
        <v>0</v>
      </c>
      <c r="CW237" s="38">
        <f t="array" ref="CW237">SUM(IF(MOD(COLUMN(B237:CU237),2)=1,B237:CU237,0))</f>
        <v>0</v>
      </c>
    </row>
    <row r="238" spans="1:101" x14ac:dyDescent="0.25">
      <c r="A238" s="45">
        <v>234</v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19">
        <f t="array" ref="CV238">SUM(IF(MOD(COLUMN(B238:CU238),2)=0,B238:CU238,0))</f>
        <v>0</v>
      </c>
      <c r="CW238" s="38">
        <f t="array" ref="CW238">SUM(IF(MOD(COLUMN(B238:CU238),2)=1,B238:CU238,0))</f>
        <v>0</v>
      </c>
    </row>
    <row r="239" spans="1:101" x14ac:dyDescent="0.25">
      <c r="A239" s="45">
        <v>235</v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19">
        <f t="array" ref="CV239">SUM(IF(MOD(COLUMN(B239:CU239),2)=0,B239:CU239,0))</f>
        <v>0</v>
      </c>
      <c r="CW239" s="38">
        <f t="array" ref="CW239">SUM(IF(MOD(COLUMN(B239:CU239),2)=1,B239:CU239,0))</f>
        <v>0</v>
      </c>
    </row>
    <row r="240" spans="1:101" x14ac:dyDescent="0.25">
      <c r="A240" s="45">
        <v>236</v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19">
        <f t="array" ref="CV240">SUM(IF(MOD(COLUMN(B240:CU240),2)=0,B240:CU240,0))</f>
        <v>0</v>
      </c>
      <c r="CW240" s="38">
        <f t="array" ref="CW240">SUM(IF(MOD(COLUMN(B240:CU240),2)=1,B240:CU240,0))</f>
        <v>0</v>
      </c>
    </row>
    <row r="241" spans="1:101" x14ac:dyDescent="0.25">
      <c r="A241" s="45">
        <v>237</v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19">
        <f t="array" ref="CV241">SUM(IF(MOD(COLUMN(B241:CU241),2)=0,B241:CU241,0))</f>
        <v>0</v>
      </c>
      <c r="CW241" s="38">
        <f t="array" ref="CW241">SUM(IF(MOD(COLUMN(B241:CU241),2)=1,B241:CU241,0))</f>
        <v>0</v>
      </c>
    </row>
    <row r="242" spans="1:101" x14ac:dyDescent="0.25">
      <c r="A242" s="45">
        <v>238</v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19">
        <f t="array" ref="CV242">SUM(IF(MOD(COLUMN(B242:CU242),2)=0,B242:CU242,0))</f>
        <v>0</v>
      </c>
      <c r="CW242" s="38">
        <f t="array" ref="CW242">SUM(IF(MOD(COLUMN(B242:CU242),2)=1,B242:CU242,0))</f>
        <v>0</v>
      </c>
    </row>
    <row r="243" spans="1:101" x14ac:dyDescent="0.25">
      <c r="A243" s="45">
        <v>239</v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19">
        <f t="array" ref="CV243">SUM(IF(MOD(COLUMN(B243:CU243),2)=0,B243:CU243,0))</f>
        <v>0</v>
      </c>
      <c r="CW243" s="38">
        <f t="array" ref="CW243">SUM(IF(MOD(COLUMN(B243:CU243),2)=1,B243:CU243,0))</f>
        <v>0</v>
      </c>
    </row>
    <row r="244" spans="1:101" x14ac:dyDescent="0.25">
      <c r="A244" s="45">
        <v>240</v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19">
        <f t="array" ref="CV244">SUM(IF(MOD(COLUMN(B244:CU244),2)=0,B244:CU244,0))</f>
        <v>0</v>
      </c>
      <c r="CW244" s="38">
        <f t="array" ref="CW244">SUM(IF(MOD(COLUMN(B244:CU244),2)=1,B244:CU244,0))</f>
        <v>0</v>
      </c>
    </row>
    <row r="245" spans="1:101" x14ac:dyDescent="0.25">
      <c r="A245" s="45">
        <v>241</v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19">
        <f t="array" ref="CV245">SUM(IF(MOD(COLUMN(B245:CU245),2)=0,B245:CU245,0))</f>
        <v>0</v>
      </c>
      <c r="CW245" s="38">
        <f t="array" ref="CW245">SUM(IF(MOD(COLUMN(B245:CU245),2)=1,B245:CU245,0))</f>
        <v>0</v>
      </c>
    </row>
    <row r="246" spans="1:101" x14ac:dyDescent="0.25">
      <c r="A246" s="45">
        <v>242</v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19">
        <f t="array" ref="CV246">SUM(IF(MOD(COLUMN(B246:CU246),2)=0,B246:CU246,0))</f>
        <v>0</v>
      </c>
      <c r="CW246" s="38">
        <f t="array" ref="CW246">SUM(IF(MOD(COLUMN(B246:CU246),2)=1,B246:CU246,0))</f>
        <v>0</v>
      </c>
    </row>
    <row r="247" spans="1:101" x14ac:dyDescent="0.25">
      <c r="A247" s="45">
        <v>243</v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19">
        <f t="array" ref="CV247">SUM(IF(MOD(COLUMN(B247:CU247),2)=0,B247:CU247,0))</f>
        <v>0</v>
      </c>
      <c r="CW247" s="38">
        <f t="array" ref="CW247">SUM(IF(MOD(COLUMN(B247:CU247),2)=1,B247:CU247,0))</f>
        <v>0</v>
      </c>
    </row>
    <row r="248" spans="1:101" x14ac:dyDescent="0.25">
      <c r="A248" s="45">
        <v>244</v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19">
        <f t="array" ref="CV248">SUM(IF(MOD(COLUMN(B248:CU248),2)=0,B248:CU248,0))</f>
        <v>0</v>
      </c>
      <c r="CW248" s="38">
        <f t="array" ref="CW248">SUM(IF(MOD(COLUMN(B248:CU248),2)=1,B248:CU248,0))</f>
        <v>0</v>
      </c>
    </row>
    <row r="249" spans="1:101" x14ac:dyDescent="0.25">
      <c r="A249" s="45">
        <v>245</v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19">
        <f t="array" ref="CV249">SUM(IF(MOD(COLUMN(B249:CU249),2)=0,B249:CU249,0))</f>
        <v>0</v>
      </c>
      <c r="CW249" s="38">
        <f t="array" ref="CW249">SUM(IF(MOD(COLUMN(B249:CU249),2)=1,B249:CU249,0))</f>
        <v>0</v>
      </c>
    </row>
    <row r="250" spans="1:101" x14ac:dyDescent="0.25">
      <c r="A250" s="45">
        <v>246</v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19">
        <f t="array" ref="CV250">SUM(IF(MOD(COLUMN(B250:CU250),2)=0,B250:CU250,0))</f>
        <v>0</v>
      </c>
      <c r="CW250" s="38">
        <f t="array" ref="CW250">SUM(IF(MOD(COLUMN(B250:CU250),2)=1,B250:CU250,0))</f>
        <v>0</v>
      </c>
    </row>
    <row r="251" spans="1:101" x14ac:dyDescent="0.25">
      <c r="A251" s="45">
        <v>247</v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19">
        <f t="array" ref="CV251">SUM(IF(MOD(COLUMN(B251:CU251),2)=0,B251:CU251,0))</f>
        <v>0</v>
      </c>
      <c r="CW251" s="38">
        <f t="array" ref="CW251">SUM(IF(MOD(COLUMN(B251:CU251),2)=1,B251:CU251,0))</f>
        <v>0</v>
      </c>
    </row>
    <row r="252" spans="1:101" x14ac:dyDescent="0.25">
      <c r="A252" s="45">
        <v>248</v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19">
        <f t="array" ref="CV252">SUM(IF(MOD(COLUMN(B252:CU252),2)=0,B252:CU252,0))</f>
        <v>0</v>
      </c>
      <c r="CW252" s="38">
        <f t="array" ref="CW252">SUM(IF(MOD(COLUMN(B252:CU252),2)=1,B252:CU252,0))</f>
        <v>0</v>
      </c>
    </row>
    <row r="253" spans="1:101" x14ac:dyDescent="0.25">
      <c r="A253" s="45">
        <v>249</v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19">
        <f t="array" ref="CV253">SUM(IF(MOD(COLUMN(B253:CU253),2)=0,B253:CU253,0))</f>
        <v>0</v>
      </c>
      <c r="CW253" s="38">
        <f t="array" ref="CW253">SUM(IF(MOD(COLUMN(B253:CU253),2)=1,B253:CU253,0))</f>
        <v>0</v>
      </c>
    </row>
    <row r="254" spans="1:101" x14ac:dyDescent="0.25">
      <c r="A254" s="45">
        <v>250</v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19">
        <f t="array" ref="CV254">SUM(IF(MOD(COLUMN(B254:CU254),2)=0,B254:CU254,0))</f>
        <v>0</v>
      </c>
      <c r="CW254" s="38">
        <f t="array" ref="CW254">SUM(IF(MOD(COLUMN(B254:CU254),2)=1,B254:CU254,0))</f>
        <v>0</v>
      </c>
    </row>
    <row r="255" spans="1:101" x14ac:dyDescent="0.25">
      <c r="A255" s="45">
        <v>251</v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19">
        <f t="array" ref="CV255">SUM(IF(MOD(COLUMN(B255:CU255),2)=0,B255:CU255,0))</f>
        <v>0</v>
      </c>
      <c r="CW255" s="38">
        <f t="array" ref="CW255">SUM(IF(MOD(COLUMN(B255:CU255),2)=1,B255:CU255,0))</f>
        <v>0</v>
      </c>
    </row>
    <row r="256" spans="1:101" x14ac:dyDescent="0.25">
      <c r="A256" s="45">
        <v>252</v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19">
        <f t="array" ref="CV256">SUM(IF(MOD(COLUMN(B256:CU256),2)=0,B256:CU256,0))</f>
        <v>0</v>
      </c>
      <c r="CW256" s="38">
        <f t="array" ref="CW256">SUM(IF(MOD(COLUMN(B256:CU256),2)=1,B256:CU256,0))</f>
        <v>0</v>
      </c>
    </row>
    <row r="257" spans="1:101" x14ac:dyDescent="0.25">
      <c r="A257" s="45">
        <v>253</v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19">
        <f t="array" ref="CV257">SUM(IF(MOD(COLUMN(B257:CU257),2)=0,B257:CU257,0))</f>
        <v>0</v>
      </c>
      <c r="CW257" s="38">
        <f t="array" ref="CW257">SUM(IF(MOD(COLUMN(B257:CU257),2)=1,B257:CU257,0))</f>
        <v>0</v>
      </c>
    </row>
    <row r="258" spans="1:101" x14ac:dyDescent="0.25">
      <c r="A258" s="45">
        <v>254</v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19">
        <f t="array" ref="CV258">SUM(IF(MOD(COLUMN(B258:CU258),2)=0,B258:CU258,0))</f>
        <v>0</v>
      </c>
      <c r="CW258" s="38">
        <f t="array" ref="CW258">SUM(IF(MOD(COLUMN(B258:CU258),2)=1,B258:CU258,0))</f>
        <v>0</v>
      </c>
    </row>
    <row r="259" spans="1:101" x14ac:dyDescent="0.25">
      <c r="A259" s="45">
        <v>255</v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19">
        <f t="array" ref="CV259">SUM(IF(MOD(COLUMN(B259:CU259),2)=0,B259:CU259,0))</f>
        <v>0</v>
      </c>
      <c r="CW259" s="38">
        <f t="array" ref="CW259">SUM(IF(MOD(COLUMN(B259:CU259),2)=1,B259:CU259,0))</f>
        <v>0</v>
      </c>
    </row>
    <row r="260" spans="1:101" x14ac:dyDescent="0.25">
      <c r="A260" s="45">
        <v>256</v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19">
        <f t="array" ref="CV260">SUM(IF(MOD(COLUMN(B260:CU260),2)=0,B260:CU260,0))</f>
        <v>0</v>
      </c>
      <c r="CW260" s="38">
        <f t="array" ref="CW260">SUM(IF(MOD(COLUMN(B260:CU260),2)=1,B260:CU260,0))</f>
        <v>0</v>
      </c>
    </row>
    <row r="261" spans="1:101" x14ac:dyDescent="0.25">
      <c r="A261" s="45">
        <v>257</v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19">
        <f t="array" ref="CV261">SUM(IF(MOD(COLUMN(B261:CU261),2)=0,B261:CU261,0))</f>
        <v>0</v>
      </c>
      <c r="CW261" s="38">
        <f t="array" ref="CW261">SUM(IF(MOD(COLUMN(B261:CU261),2)=1,B261:CU261,0))</f>
        <v>0</v>
      </c>
    </row>
    <row r="262" spans="1:101" x14ac:dyDescent="0.25">
      <c r="A262" s="45">
        <v>258</v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19">
        <f t="array" ref="CV262">SUM(IF(MOD(COLUMN(B262:CU262),2)=0,B262:CU262,0))</f>
        <v>0</v>
      </c>
      <c r="CW262" s="38">
        <f t="array" ref="CW262">SUM(IF(MOD(COLUMN(B262:CU262),2)=1,B262:CU262,0))</f>
        <v>0</v>
      </c>
    </row>
    <row r="263" spans="1:101" x14ac:dyDescent="0.25">
      <c r="A263" s="45">
        <v>259</v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19">
        <f t="array" ref="CV263">SUM(IF(MOD(COLUMN(B263:CU263),2)=0,B263:CU263,0))</f>
        <v>0</v>
      </c>
      <c r="CW263" s="38">
        <f t="array" ref="CW263">SUM(IF(MOD(COLUMN(B263:CU263),2)=1,B263:CU263,0))</f>
        <v>0</v>
      </c>
    </row>
    <row r="264" spans="1:101" x14ac:dyDescent="0.25">
      <c r="A264" s="45">
        <v>260</v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19">
        <f t="array" ref="CV264">SUM(IF(MOD(COLUMN(B264:CU264),2)=0,B264:CU264,0))</f>
        <v>0</v>
      </c>
      <c r="CW264" s="38">
        <f t="array" ref="CW264">SUM(IF(MOD(COLUMN(B264:CU264),2)=1,B264:CU264,0))</f>
        <v>0</v>
      </c>
    </row>
    <row r="265" spans="1:101" x14ac:dyDescent="0.25">
      <c r="A265" s="45">
        <v>261</v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19">
        <f t="array" ref="CV265">SUM(IF(MOD(COLUMN(B265:CU265),2)=0,B265:CU265,0))</f>
        <v>0</v>
      </c>
      <c r="CW265" s="38">
        <f t="array" ref="CW265">SUM(IF(MOD(COLUMN(B265:CU265),2)=1,B265:CU265,0))</f>
        <v>0</v>
      </c>
    </row>
    <row r="266" spans="1:101" x14ac:dyDescent="0.25">
      <c r="A266" s="45">
        <v>262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19">
        <f t="array" ref="CV266">SUM(IF(MOD(COLUMN(B266:CU266),2)=0,B266:CU266,0))</f>
        <v>0</v>
      </c>
      <c r="CW266" s="38">
        <f t="array" ref="CW266">SUM(IF(MOD(COLUMN(B266:CU266),2)=1,B266:CU266,0))</f>
        <v>0</v>
      </c>
    </row>
    <row r="267" spans="1:101" x14ac:dyDescent="0.25">
      <c r="A267" s="45">
        <v>263</v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19">
        <f t="array" ref="CV267">SUM(IF(MOD(COLUMN(B267:CU267),2)=0,B267:CU267,0))</f>
        <v>0</v>
      </c>
      <c r="CW267" s="38">
        <f t="array" ref="CW267">SUM(IF(MOD(COLUMN(B267:CU267),2)=1,B267:CU267,0))</f>
        <v>0</v>
      </c>
    </row>
    <row r="268" spans="1:101" x14ac:dyDescent="0.25">
      <c r="A268" s="45">
        <v>264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19">
        <f t="array" ref="CV268">SUM(IF(MOD(COLUMN(B268:CU268),2)=0,B268:CU268,0))</f>
        <v>0</v>
      </c>
      <c r="CW268" s="38">
        <f t="array" ref="CW268">SUM(IF(MOD(COLUMN(B268:CU268),2)=1,B268:CU268,0))</f>
        <v>0</v>
      </c>
    </row>
    <row r="269" spans="1:101" x14ac:dyDescent="0.25">
      <c r="A269" s="45">
        <v>265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19">
        <f t="array" ref="CV269">SUM(IF(MOD(COLUMN(B269:CU269),2)=0,B269:CU269,0))</f>
        <v>0</v>
      </c>
      <c r="CW269" s="38">
        <f t="array" ref="CW269">SUM(IF(MOD(COLUMN(B269:CU269),2)=1,B269:CU269,0))</f>
        <v>0</v>
      </c>
    </row>
    <row r="270" spans="1:101" x14ac:dyDescent="0.25">
      <c r="A270" s="45">
        <v>266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19">
        <f t="array" ref="CV270">SUM(IF(MOD(COLUMN(B270:CU270),2)=0,B270:CU270,0))</f>
        <v>0</v>
      </c>
      <c r="CW270" s="38">
        <f t="array" ref="CW270">SUM(IF(MOD(COLUMN(B270:CU270),2)=1,B270:CU270,0))</f>
        <v>0</v>
      </c>
    </row>
    <row r="271" spans="1:101" x14ac:dyDescent="0.25">
      <c r="A271" s="45">
        <v>267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19">
        <f t="array" ref="CV271">SUM(IF(MOD(COLUMN(B271:CU271),2)=0,B271:CU271,0))</f>
        <v>0</v>
      </c>
      <c r="CW271" s="38">
        <f t="array" ref="CW271">SUM(IF(MOD(COLUMN(B271:CU271),2)=1,B271:CU271,0))</f>
        <v>0</v>
      </c>
    </row>
    <row r="272" spans="1:101" x14ac:dyDescent="0.25">
      <c r="A272" s="45">
        <v>268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19">
        <f t="array" ref="CV272">SUM(IF(MOD(COLUMN(B272:CU272),2)=0,B272:CU272,0))</f>
        <v>0</v>
      </c>
      <c r="CW272" s="38">
        <f t="array" ref="CW272">SUM(IF(MOD(COLUMN(B272:CU272),2)=1,B272:CU272,0))</f>
        <v>0</v>
      </c>
    </row>
    <row r="273" spans="1:101" x14ac:dyDescent="0.25">
      <c r="A273" s="45">
        <v>269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19">
        <f t="array" ref="CV273">SUM(IF(MOD(COLUMN(B273:CU273),2)=0,B273:CU273,0))</f>
        <v>0</v>
      </c>
      <c r="CW273" s="38">
        <f t="array" ref="CW273">SUM(IF(MOD(COLUMN(B273:CU273),2)=1,B273:CU273,0))</f>
        <v>0</v>
      </c>
    </row>
    <row r="274" spans="1:101" x14ac:dyDescent="0.25">
      <c r="A274" s="45">
        <v>270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19">
        <f t="array" ref="CV274">SUM(IF(MOD(COLUMN(B274:CU274),2)=0,B274:CU274,0))</f>
        <v>0</v>
      </c>
      <c r="CW274" s="38">
        <f t="array" ref="CW274">SUM(IF(MOD(COLUMN(B274:CU274),2)=1,B274:CU274,0))</f>
        <v>0</v>
      </c>
    </row>
    <row r="275" spans="1:101" x14ac:dyDescent="0.25">
      <c r="A275" s="45">
        <v>271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19">
        <f t="array" ref="CV275">SUM(IF(MOD(COLUMN(B275:CU275),2)=0,B275:CU275,0))</f>
        <v>0</v>
      </c>
      <c r="CW275" s="38">
        <f t="array" ref="CW275">SUM(IF(MOD(COLUMN(B275:CU275),2)=1,B275:CU275,0))</f>
        <v>0</v>
      </c>
    </row>
    <row r="276" spans="1:101" x14ac:dyDescent="0.25">
      <c r="A276" s="45">
        <v>272</v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19">
        <f t="array" ref="CV276">SUM(IF(MOD(COLUMN(B276:CU276),2)=0,B276:CU276,0))</f>
        <v>0</v>
      </c>
      <c r="CW276" s="38">
        <f t="array" ref="CW276">SUM(IF(MOD(COLUMN(B276:CU276),2)=1,B276:CU276,0))</f>
        <v>0</v>
      </c>
    </row>
    <row r="277" spans="1:101" x14ac:dyDescent="0.25">
      <c r="A277" s="45">
        <v>273</v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19">
        <f t="array" ref="CV277">SUM(IF(MOD(COLUMN(B277:CU277),2)=0,B277:CU277,0))</f>
        <v>0</v>
      </c>
      <c r="CW277" s="38">
        <f t="array" ref="CW277">SUM(IF(MOD(COLUMN(B277:CU277),2)=1,B277:CU277,0))</f>
        <v>0</v>
      </c>
    </row>
    <row r="278" spans="1:101" x14ac:dyDescent="0.25">
      <c r="A278" s="45">
        <v>274</v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19">
        <f t="array" ref="CV278">SUM(IF(MOD(COLUMN(B278:CU278),2)=0,B278:CU278,0))</f>
        <v>0</v>
      </c>
      <c r="CW278" s="38">
        <f t="array" ref="CW278">SUM(IF(MOD(COLUMN(B278:CU278),2)=1,B278:CU278,0))</f>
        <v>0</v>
      </c>
    </row>
    <row r="279" spans="1:101" x14ac:dyDescent="0.25">
      <c r="A279" s="45">
        <v>275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19">
        <f t="array" ref="CV279">SUM(IF(MOD(COLUMN(B279:CU279),2)=0,B279:CU279,0))</f>
        <v>0</v>
      </c>
      <c r="CW279" s="38">
        <f t="array" ref="CW279">SUM(IF(MOD(COLUMN(B279:CU279),2)=1,B279:CU279,0))</f>
        <v>0</v>
      </c>
    </row>
    <row r="280" spans="1:101" x14ac:dyDescent="0.25">
      <c r="A280" s="45">
        <v>276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19">
        <f t="array" ref="CV280">SUM(IF(MOD(COLUMN(B280:CU280),2)=0,B280:CU280,0))</f>
        <v>0</v>
      </c>
      <c r="CW280" s="38">
        <f t="array" ref="CW280">SUM(IF(MOD(COLUMN(B280:CU280),2)=1,B280:CU280,0))</f>
        <v>0</v>
      </c>
    </row>
    <row r="281" spans="1:101" x14ac:dyDescent="0.25">
      <c r="A281" s="45">
        <v>277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19">
        <f t="array" ref="CV281">SUM(IF(MOD(COLUMN(B281:CU281),2)=0,B281:CU281,0))</f>
        <v>0</v>
      </c>
      <c r="CW281" s="38">
        <f t="array" ref="CW281">SUM(IF(MOD(COLUMN(B281:CU281),2)=1,B281:CU281,0))</f>
        <v>0</v>
      </c>
    </row>
    <row r="282" spans="1:101" x14ac:dyDescent="0.25">
      <c r="A282" s="45">
        <v>278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19">
        <f t="array" ref="CV282">SUM(IF(MOD(COLUMN(B282:CU282),2)=0,B282:CU282,0))</f>
        <v>0</v>
      </c>
      <c r="CW282" s="38">
        <f t="array" ref="CW282">SUM(IF(MOD(COLUMN(B282:CU282),2)=1,B282:CU282,0))</f>
        <v>0</v>
      </c>
    </row>
    <row r="283" spans="1:101" x14ac:dyDescent="0.25">
      <c r="A283" s="45">
        <v>279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19">
        <f t="array" ref="CV283">SUM(IF(MOD(COLUMN(B283:CU283),2)=0,B283:CU283,0))</f>
        <v>0</v>
      </c>
      <c r="CW283" s="38">
        <f t="array" ref="CW283">SUM(IF(MOD(COLUMN(B283:CU283),2)=1,B283:CU283,0))</f>
        <v>0</v>
      </c>
    </row>
    <row r="284" spans="1:101" x14ac:dyDescent="0.25">
      <c r="A284" s="45">
        <v>280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19">
        <f t="array" ref="CV284">SUM(IF(MOD(COLUMN(B284:CU284),2)=0,B284:CU284,0))</f>
        <v>0</v>
      </c>
      <c r="CW284" s="38">
        <f t="array" ref="CW284">SUM(IF(MOD(COLUMN(B284:CU284),2)=1,B284:CU284,0))</f>
        <v>0</v>
      </c>
    </row>
    <row r="285" spans="1:101" x14ac:dyDescent="0.25">
      <c r="A285" s="45">
        <v>281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19">
        <f t="array" ref="CV285">SUM(IF(MOD(COLUMN(B285:CU285),2)=0,B285:CU285,0))</f>
        <v>0</v>
      </c>
      <c r="CW285" s="38">
        <f t="array" ref="CW285">SUM(IF(MOD(COLUMN(B285:CU285),2)=1,B285:CU285,0))</f>
        <v>0</v>
      </c>
    </row>
    <row r="286" spans="1:101" x14ac:dyDescent="0.25">
      <c r="A286" s="45">
        <v>282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19">
        <f t="array" ref="CV286">SUM(IF(MOD(COLUMN(B286:CU286),2)=0,B286:CU286,0))</f>
        <v>0</v>
      </c>
      <c r="CW286" s="38">
        <f t="array" ref="CW286">SUM(IF(MOD(COLUMN(B286:CU286),2)=1,B286:CU286,0))</f>
        <v>0</v>
      </c>
    </row>
    <row r="287" spans="1:101" x14ac:dyDescent="0.25">
      <c r="A287" s="45">
        <v>283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19">
        <f t="array" ref="CV287">SUM(IF(MOD(COLUMN(B287:CU287),2)=0,B287:CU287,0))</f>
        <v>0</v>
      </c>
      <c r="CW287" s="38">
        <f t="array" ref="CW287">SUM(IF(MOD(COLUMN(B287:CU287),2)=1,B287:CU287,0))</f>
        <v>0</v>
      </c>
    </row>
    <row r="288" spans="1:101" x14ac:dyDescent="0.25">
      <c r="A288" s="45">
        <v>284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19">
        <f t="array" ref="CV288">SUM(IF(MOD(COLUMN(B288:CU288),2)=0,B288:CU288,0))</f>
        <v>0</v>
      </c>
      <c r="CW288" s="38">
        <f t="array" ref="CW288">SUM(IF(MOD(COLUMN(B288:CU288),2)=1,B288:CU288,0))</f>
        <v>0</v>
      </c>
    </row>
    <row r="289" spans="1:101" x14ac:dyDescent="0.25">
      <c r="A289" s="45">
        <v>285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19">
        <f t="array" ref="CV289">SUM(IF(MOD(COLUMN(B289:CU289),2)=0,B289:CU289,0))</f>
        <v>0</v>
      </c>
      <c r="CW289" s="38">
        <f t="array" ref="CW289">SUM(IF(MOD(COLUMN(B289:CU289),2)=1,B289:CU289,0))</f>
        <v>0</v>
      </c>
    </row>
    <row r="290" spans="1:101" x14ac:dyDescent="0.25">
      <c r="A290" s="45">
        <v>286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19">
        <f t="array" ref="CV290">SUM(IF(MOD(COLUMN(B290:CU290),2)=0,B290:CU290,0))</f>
        <v>0</v>
      </c>
      <c r="CW290" s="38">
        <f t="array" ref="CW290">SUM(IF(MOD(COLUMN(B290:CU290),2)=1,B290:CU290,0))</f>
        <v>0</v>
      </c>
    </row>
    <row r="291" spans="1:101" x14ac:dyDescent="0.25">
      <c r="A291" s="45">
        <v>287</v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19">
        <f t="array" ref="CV291">SUM(IF(MOD(COLUMN(B291:CU291),2)=0,B291:CU291,0))</f>
        <v>0</v>
      </c>
      <c r="CW291" s="38">
        <f t="array" ref="CW291">SUM(IF(MOD(COLUMN(B291:CU291),2)=1,B291:CU291,0))</f>
        <v>0</v>
      </c>
    </row>
    <row r="292" spans="1:101" x14ac:dyDescent="0.25">
      <c r="A292" s="45">
        <v>288</v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19">
        <f t="array" ref="CV292">SUM(IF(MOD(COLUMN(B292:CU292),2)=0,B292:CU292,0))</f>
        <v>0</v>
      </c>
      <c r="CW292" s="38">
        <f t="array" ref="CW292">SUM(IF(MOD(COLUMN(B292:CU292),2)=1,B292:CU292,0))</f>
        <v>0</v>
      </c>
    </row>
    <row r="293" spans="1:101" x14ac:dyDescent="0.25">
      <c r="A293" s="45">
        <v>289</v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19">
        <f t="array" ref="CV293">SUM(IF(MOD(COLUMN(B293:CU293),2)=0,B293:CU293,0))</f>
        <v>0</v>
      </c>
      <c r="CW293" s="38">
        <f t="array" ref="CW293">SUM(IF(MOD(COLUMN(B293:CU293),2)=1,B293:CU293,0))</f>
        <v>0</v>
      </c>
    </row>
    <row r="294" spans="1:101" x14ac:dyDescent="0.25">
      <c r="A294" s="45">
        <v>290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19">
        <f t="array" ref="CV294">SUM(IF(MOD(COLUMN(B294:CU294),2)=0,B294:CU294,0))</f>
        <v>0</v>
      </c>
      <c r="CW294" s="38">
        <f t="array" ref="CW294">SUM(IF(MOD(COLUMN(B294:CU294),2)=1,B294:CU294,0))</f>
        <v>0</v>
      </c>
    </row>
    <row r="295" spans="1:101" x14ac:dyDescent="0.25">
      <c r="A295" s="45">
        <v>291</v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19">
        <f t="array" ref="CV295">SUM(IF(MOD(COLUMN(B295:CU295),2)=0,B295:CU295,0))</f>
        <v>0</v>
      </c>
      <c r="CW295" s="38">
        <f t="array" ref="CW295">SUM(IF(MOD(COLUMN(B295:CU295),2)=1,B295:CU295,0))</f>
        <v>0</v>
      </c>
    </row>
    <row r="296" spans="1:101" x14ac:dyDescent="0.25">
      <c r="A296" s="45">
        <v>292</v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19">
        <f t="array" ref="CV296">SUM(IF(MOD(COLUMN(B296:CU296),2)=0,B296:CU296,0))</f>
        <v>0</v>
      </c>
      <c r="CW296" s="38">
        <f t="array" ref="CW296">SUM(IF(MOD(COLUMN(B296:CU296),2)=1,B296:CU296,0))</f>
        <v>0</v>
      </c>
    </row>
    <row r="297" spans="1:101" x14ac:dyDescent="0.25">
      <c r="A297" s="45">
        <v>293</v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19">
        <f t="array" ref="CV297">SUM(IF(MOD(COLUMN(B297:CU297),2)=0,B297:CU297,0))</f>
        <v>0</v>
      </c>
      <c r="CW297" s="38">
        <f t="array" ref="CW297">SUM(IF(MOD(COLUMN(B297:CU297),2)=1,B297:CU297,0))</f>
        <v>0</v>
      </c>
    </row>
    <row r="298" spans="1:101" x14ac:dyDescent="0.25">
      <c r="A298" s="45">
        <v>294</v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19">
        <f t="array" ref="CV298">SUM(IF(MOD(COLUMN(B298:CU298),2)=0,B298:CU298,0))</f>
        <v>0</v>
      </c>
      <c r="CW298" s="38">
        <f t="array" ref="CW298">SUM(IF(MOD(COLUMN(B298:CU298),2)=1,B298:CU298,0))</f>
        <v>0</v>
      </c>
    </row>
    <row r="299" spans="1:101" x14ac:dyDescent="0.25">
      <c r="A299" s="45">
        <v>295</v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19">
        <f t="array" ref="CV299">SUM(IF(MOD(COLUMN(B299:CU299),2)=0,B299:CU299,0))</f>
        <v>0</v>
      </c>
      <c r="CW299" s="38">
        <f t="array" ref="CW299">SUM(IF(MOD(COLUMN(B299:CU299),2)=1,B299:CU299,0))</f>
        <v>0</v>
      </c>
    </row>
    <row r="300" spans="1:101" x14ac:dyDescent="0.25">
      <c r="A300" s="45">
        <v>296</v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19">
        <f t="array" ref="CV300">SUM(IF(MOD(COLUMN(B300:CU300),2)=0,B300:CU300,0))</f>
        <v>0</v>
      </c>
      <c r="CW300" s="38">
        <f t="array" ref="CW300">SUM(IF(MOD(COLUMN(B300:CU300),2)=1,B300:CU300,0))</f>
        <v>0</v>
      </c>
    </row>
    <row r="301" spans="1:101" x14ac:dyDescent="0.25">
      <c r="A301" s="45">
        <v>297</v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19">
        <f t="array" ref="CV301">SUM(IF(MOD(COLUMN(B301:CU301),2)=0,B301:CU301,0))</f>
        <v>0</v>
      </c>
      <c r="CW301" s="38">
        <f t="array" ref="CW301">SUM(IF(MOD(COLUMN(B301:CU301),2)=1,B301:CU301,0))</f>
        <v>0</v>
      </c>
    </row>
    <row r="302" spans="1:101" x14ac:dyDescent="0.25">
      <c r="A302" s="45">
        <v>298</v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19">
        <f t="array" ref="CV302">SUM(IF(MOD(COLUMN(B302:CU302),2)=0,B302:CU302,0))</f>
        <v>0</v>
      </c>
      <c r="CW302" s="38">
        <f t="array" ref="CW302">SUM(IF(MOD(COLUMN(B302:CU302),2)=1,B302:CU302,0))</f>
        <v>0</v>
      </c>
    </row>
    <row r="303" spans="1:101" x14ac:dyDescent="0.25">
      <c r="A303" s="45">
        <v>299</v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19">
        <f t="array" ref="CV303">SUM(IF(MOD(COLUMN(B303:CU303),2)=0,B303:CU303,0))</f>
        <v>0</v>
      </c>
      <c r="CW303" s="38">
        <f t="array" ref="CW303">SUM(IF(MOD(COLUMN(B303:CU303),2)=1,B303:CU303,0))</f>
        <v>0</v>
      </c>
    </row>
    <row r="304" spans="1:101" x14ac:dyDescent="0.25">
      <c r="A304" s="45">
        <v>300</v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19">
        <f t="array" ref="CV304">SUM(IF(MOD(COLUMN(B304:CU304),2)=0,B304:CU304,0))</f>
        <v>0</v>
      </c>
      <c r="CW304" s="38">
        <f t="array" ref="CW304">SUM(IF(MOD(COLUMN(B304:CU304),2)=1,B304:CU304,0))</f>
        <v>0</v>
      </c>
    </row>
  </sheetData>
  <mergeCells count="109">
    <mergeCell ref="DA1:DB2"/>
    <mergeCell ref="CT2:CU2"/>
    <mergeCell ref="BZ2:CA2"/>
    <mergeCell ref="CB2:CC2"/>
    <mergeCell ref="CD2:CE2"/>
    <mergeCell ref="CF2:CG2"/>
    <mergeCell ref="CH2:CI2"/>
    <mergeCell ref="CJ2:CK2"/>
    <mergeCell ref="CL2:CM2"/>
    <mergeCell ref="CN2:CO2"/>
    <mergeCell ref="CP2:CQ2"/>
    <mergeCell ref="CR2:CS2"/>
    <mergeCell ref="CV1:CV3"/>
    <mergeCell ref="CW1:CW3"/>
    <mergeCell ref="BZ3:CA3"/>
    <mergeCell ref="CR3:CS3"/>
    <mergeCell ref="CT3:CU3"/>
    <mergeCell ref="CJ3:CK3"/>
    <mergeCell ref="CN3:CO3"/>
    <mergeCell ref="CP3:CQ3"/>
    <mergeCell ref="CL3:CM3"/>
    <mergeCell ref="CB3:CC3"/>
    <mergeCell ref="CD3:CE3"/>
    <mergeCell ref="BT1:CG1"/>
    <mergeCell ref="B1:O1"/>
    <mergeCell ref="P1:AC1"/>
    <mergeCell ref="AD1:AQ1"/>
    <mergeCell ref="V3:W3"/>
    <mergeCell ref="J2:K2"/>
    <mergeCell ref="L2:M2"/>
    <mergeCell ref="N2:O2"/>
    <mergeCell ref="P2:Q2"/>
    <mergeCell ref="R2:S2"/>
    <mergeCell ref="B3:C3"/>
    <mergeCell ref="D3:E3"/>
    <mergeCell ref="F3:G3"/>
    <mergeCell ref="H3:I3"/>
    <mergeCell ref="B2:C2"/>
    <mergeCell ref="D2:E2"/>
    <mergeCell ref="AN2:AO2"/>
    <mergeCell ref="AP2:AQ2"/>
    <mergeCell ref="A1:A3"/>
    <mergeCell ref="AV2:AW2"/>
    <mergeCell ref="AX2:AY2"/>
    <mergeCell ref="AZ2:BA2"/>
    <mergeCell ref="BB2:BC2"/>
    <mergeCell ref="BD2:BE2"/>
    <mergeCell ref="BF2:BG2"/>
    <mergeCell ref="V2:W2"/>
    <mergeCell ref="AD2:AE2"/>
    <mergeCell ref="X2:Y2"/>
    <mergeCell ref="Z2:AA2"/>
    <mergeCell ref="AB2:AC2"/>
    <mergeCell ref="F2:G2"/>
    <mergeCell ref="H2:I2"/>
    <mergeCell ref="J3:K3"/>
    <mergeCell ref="L3:M3"/>
    <mergeCell ref="N3:O3"/>
    <mergeCell ref="P3:Q3"/>
    <mergeCell ref="R3:S3"/>
    <mergeCell ref="T3:U3"/>
    <mergeCell ref="T2:U2"/>
    <mergeCell ref="X3:Y3"/>
    <mergeCell ref="AJ2:AK2"/>
    <mergeCell ref="AL2:AM2"/>
    <mergeCell ref="CH1:CU1"/>
    <mergeCell ref="AR1:BE1"/>
    <mergeCell ref="BF1:BS1"/>
    <mergeCell ref="BX3:BY3"/>
    <mergeCell ref="Z3:AA3"/>
    <mergeCell ref="AB3:AC3"/>
    <mergeCell ref="AD3:AE3"/>
    <mergeCell ref="AJ3:AK3"/>
    <mergeCell ref="AL3:AM3"/>
    <mergeCell ref="AN3:AO3"/>
    <mergeCell ref="AP3:AQ3"/>
    <mergeCell ref="BT3:BU3"/>
    <mergeCell ref="BV3:BW3"/>
    <mergeCell ref="BR3:BS3"/>
    <mergeCell ref="AV3:AW3"/>
    <mergeCell ref="AX3:AY3"/>
    <mergeCell ref="AZ3:BA3"/>
    <mergeCell ref="CF3:CG3"/>
    <mergeCell ref="BX2:BY2"/>
    <mergeCell ref="CH3:CI3"/>
    <mergeCell ref="AF3:AG3"/>
    <mergeCell ref="AH3:AI3"/>
    <mergeCell ref="AF2:AG2"/>
    <mergeCell ref="AH2:AI2"/>
    <mergeCell ref="BT2:BU2"/>
    <mergeCell ref="BV2:BW2"/>
    <mergeCell ref="BN2:BO2"/>
    <mergeCell ref="BP2:BQ2"/>
    <mergeCell ref="BR2:BS2"/>
    <mergeCell ref="AR3:AS3"/>
    <mergeCell ref="AT3:AU3"/>
    <mergeCell ref="BH3:BI3"/>
    <mergeCell ref="BJ3:BK3"/>
    <mergeCell ref="BL3:BM3"/>
    <mergeCell ref="BN3:BO3"/>
    <mergeCell ref="BP3:BQ3"/>
    <mergeCell ref="BL2:BM2"/>
    <mergeCell ref="AR2:AS2"/>
    <mergeCell ref="BH2:BI2"/>
    <mergeCell ref="BJ2:BK2"/>
    <mergeCell ref="AT2:AU2"/>
    <mergeCell ref="BB3:BC3"/>
    <mergeCell ref="BD3:BE3"/>
    <mergeCell ref="BF3:BG3"/>
  </mergeCells>
  <phoneticPr fontId="6" type="noConversion"/>
  <conditionalFormatting sqref="B5:CU304">
    <cfRule type="cellIs" dxfId="53" priority="17" operator="lessThan">
      <formula>0</formula>
    </cfRule>
  </conditionalFormatting>
  <conditionalFormatting sqref="CU5:CU304 C5:C304 E5:E304 G5:G304 I5:I304 K5:K304 M5:M304 O5:O304 Q5:Q304 S5:S304 U5:U304 W5:W304 Y5:Y304 AA5:AA304 AC5:AC304 AE5:AE304 AG5:AG304 AI5:AI304 AK5:AK304 AM5:AM304 AO5:AO304 AQ5:AQ304 AS5:AS304 AU5:AU304 AW5:AW304 AY5:AY304 BA5:BA304 BC5:BC304 BE5:BE304 BG5:BG304 BI5:BI304 BK5:BK304 BM5:BM304 BO5:BO304 BQ5:BQ304 BS5:BS304 BU5:BU304 BW5:BW304 BY5:BY304 CA5:CA304 CC5:CC304 CE5:CE304 CG5:CG304 CI5:CI304 CK5:CK304 CM5:CM304 CO5:CO304 CQ5:CQ304 CS5:CS304">
    <cfRule type="cellIs" dxfId="52" priority="16" operator="lessThan">
      <formula>1</formula>
    </cfRule>
  </conditionalFormatting>
  <conditionalFormatting sqref="E5:E304">
    <cfRule type="cellIs" dxfId="51" priority="15" operator="lessThan">
      <formula>1</formula>
    </cfRule>
  </conditionalFormatting>
  <conditionalFormatting sqref="G5:G304">
    <cfRule type="cellIs" dxfId="50" priority="14" operator="lessThan">
      <formula>1</formula>
    </cfRule>
  </conditionalFormatting>
  <conditionalFormatting sqref="B5:B304">
    <cfRule type="cellIs" dxfId="49" priority="13" operator="lessThan">
      <formula>1</formula>
    </cfRule>
  </conditionalFormatting>
  <conditionalFormatting sqref="E5:E304">
    <cfRule type="cellIs" dxfId="48" priority="12" operator="lessThan">
      <formula>1</formula>
    </cfRule>
  </conditionalFormatting>
  <conditionalFormatting sqref="D5:D304">
    <cfRule type="cellIs" dxfId="47" priority="11" operator="lessThan">
      <formula>1</formula>
    </cfRule>
  </conditionalFormatting>
  <conditionalFormatting sqref="G5:G304">
    <cfRule type="cellIs" dxfId="46" priority="10" operator="lessThan">
      <formula>1</formula>
    </cfRule>
  </conditionalFormatting>
  <conditionalFormatting sqref="F5:F304">
    <cfRule type="cellIs" dxfId="45" priority="9" operator="lessThan">
      <formula>1</formula>
    </cfRule>
  </conditionalFormatting>
  <conditionalFormatting sqref="I5:I304">
    <cfRule type="cellIs" dxfId="44" priority="8" operator="lessThan">
      <formula>1</formula>
    </cfRule>
  </conditionalFormatting>
  <conditionalFormatting sqref="H5:H304">
    <cfRule type="cellIs" dxfId="43" priority="7" operator="lessThan">
      <formula>1</formula>
    </cfRule>
  </conditionalFormatting>
  <conditionalFormatting sqref="K5:K304 M5:M304 O5:O304">
    <cfRule type="cellIs" dxfId="42" priority="6" operator="lessThan">
      <formula>1</formula>
    </cfRule>
  </conditionalFormatting>
  <conditionalFormatting sqref="J5:J304 L5:L304 N5:N304">
    <cfRule type="cellIs" dxfId="41" priority="5" operator="lessThan">
      <formula>1</formula>
    </cfRule>
  </conditionalFormatting>
  <conditionalFormatting sqref="Q5:Q304 S5:S304 U5:U304 W5:W304 Y5:Y304 AA5:AA304 AC5:AC304 AE5:AE304 AG5:AG304 AI5:AI304 AK5:AK304 AM5:AM304 AO5:AO304 AQ5:AQ304 AS5:AS304 AU5:AU304 AW5:AW304 AY5:AY304 BA5:BA304 BC5:BC304 BE5:BE304 BG5:BG304 BI5:BI304 BK5:BK304 BM5:BM304 BO5:BO304 BQ5:BQ304 BS5:BS304 BU5:BU304 BW5:BW304 BY5:BY304 CA5:CA304 CC5:CC304 CE5:CE304 CG5:CG304 CI5:CI304 CK5:CK304 CM5:CM304 CO5:CO304">
    <cfRule type="cellIs" dxfId="40" priority="4" operator="lessThan">
      <formula>1</formula>
    </cfRule>
  </conditionalFormatting>
  <conditionalFormatting sqref="P5:P304 R5:R304 T5:T304 V5:V304 X5:X304 Z5:Z304 AB5:AB304 AD5:AD304 AF5:AF304 AH5:AH304 AJ5:AJ304 AL5:AL304 AN5:AN304 AP5:AP304 AR5:AR304 AT5:AT304 AV5:AV304 AX5:AX304 AZ5:AZ304 BB5:BB304 BD5:BD304 BF5:BF304 BH5:BH304 BJ5:BJ304 BL5:BL304 BN5:BN304 BP5:BP304 BR5:BR304 BT5:BT304 BV5:BV304 BX5:BX304 BZ5:BZ304 CB5:CB304 CD5:CD304 CF5:CF304 CH5:CH304 CJ5:CJ304 CL5:CL304 CN5:CN304">
    <cfRule type="cellIs" dxfId="39" priority="3" operator="lessThan">
      <formula>1</formula>
    </cfRule>
  </conditionalFormatting>
  <conditionalFormatting sqref="CQ5:CQ304 CS5:CS304">
    <cfRule type="cellIs" dxfId="38" priority="2" operator="lessThan">
      <formula>1</formula>
    </cfRule>
  </conditionalFormatting>
  <conditionalFormatting sqref="CT5:CT304 B5:B304 D5:D304 F5:F304 H5:H304 J5:J304 L5:L304 N5:N304 P5:P304 R5:R304 T5:T304 V5:V304 X5:X304 Z5:Z304 AB5:AB304 AD5:AD304 AF5:AF304 AH5:AH304 AJ5:AJ304 AL5:AL304 AN5:AN304 AP5:AP304 AR5:AR304 AT5:AT304 AV5:AV304 AX5:AX304 AZ5:AZ304 BB5:BB304 BD5:BD304 BF5:BF304 BH5:BH304 BJ5:BJ304 BL5:BL304 BN5:BN304 BP5:BP304 BR5:BR304 BT5:BT304 BV5:BV304 BX5:BX304 BZ5:BZ304 CB5:CB304 CD5:CD304 CF5:CF304 CH5:CH304 CJ5:CJ304 CL5:CL304 CN5:CN304 CP5:CP304 CR5:CR304">
    <cfRule type="cellIs" dxfId="37" priority="1" operator="lessThan">
      <formula>1</formula>
    </cfRule>
  </conditionalFormatting>
  <dataValidations count="1">
    <dataValidation type="date" operator="greaterThan" allowBlank="1" showInputMessage="1" showErrorMessage="1" errorTitle="Invalid Date" error="Please enter a valid date" sqref="B3:CU3" xr:uid="{87C5FA57-5890-4BAB-ACA4-F2D38806B199}">
      <formula1>29221</formula1>
    </dataValidation>
  </dataValidations>
  <pageMargins left="0.7" right="0.7" top="0.75" bottom="0.75" header="0.3" footer="0.3"/>
  <pageSetup orientation="portrait" r:id="rId1"/>
  <ignoredErrors>
    <ignoredError sqref="CV5:CW45 CV46:CW54 CV55:CW57 CV58:CW59 CV60:CW60 CV61:CW62 CV63:CW64 CV65:CW65 CV66:CW66 CV67:CW71 CV72:CW73 CV74:CW74 CV75:CW77 CV78:CW78 CV79:CW82 CV83:CW83 CV84:CW84 CV85:CW86 CV87:CW90 CV91:CW91 CV92:CW95 CV96:CW97 CV98:CW98 CV99:CW99 CV100:CW103 CV104:CW104 CV105:CW107 CV108:CW109 CV110:CW110 CV111:CW112 CV113:CW113 CV114:CW114 CV115:CW115 CV116:CW120 CV121:CW121 CV122:CW124 CV125:CW125 CV126:CW127 CV128:CW14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lear_Dag_Loners_Ure">
                <anchor moveWithCells="1" sizeWithCells="1">
                  <from>
                    <xdr:col>102</xdr:col>
                    <xdr:colOff>0</xdr:colOff>
                    <xdr:row>0</xdr:row>
                    <xdr:rowOff>0</xdr:rowOff>
                  </from>
                  <to>
                    <xdr:col>104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1026">
              <controlPr defaultSize="0" print="0" autoFill="0" autoPict="0" macro="[0]!Clear_Day_Workers_Hours">
                <anchor moveWithCells="1" sizeWithCells="1">
                  <from>
                    <xdr:col>102</xdr:col>
                    <xdr:colOff>0</xdr:colOff>
                    <xdr:row>0</xdr:row>
                    <xdr:rowOff>0</xdr:rowOff>
                  </from>
                  <to>
                    <xdr:col>104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2BCC4-BDBE-4CBE-ACDA-81B6B912928C}">
  <sheetPr codeName="Sheet7"/>
  <dimension ref="A1:J253"/>
  <sheetViews>
    <sheetView zoomScale="85" zoomScaleNormal="85" workbookViewId="0">
      <selection activeCell="J3" sqref="J3"/>
    </sheetView>
  </sheetViews>
  <sheetFormatPr defaultColWidth="18.28515625" defaultRowHeight="15" x14ac:dyDescent="0.25"/>
  <cols>
    <col min="1" max="1" width="6.42578125" style="4" customWidth="1"/>
    <col min="2" max="4" width="18.7109375" style="4" customWidth="1"/>
    <col min="5" max="5" width="20.7109375" style="4" customWidth="1"/>
    <col min="6" max="7" width="18.28515625" style="4"/>
    <col min="8" max="8" width="6.28515625" style="4" customWidth="1"/>
    <col min="9" max="9" width="19.140625" style="4" bestFit="1" customWidth="1"/>
    <col min="10" max="10" width="31.28515625" style="4" customWidth="1"/>
    <col min="11" max="11" width="23.28515625" style="4" bestFit="1" customWidth="1"/>
    <col min="12" max="16384" width="18.28515625" style="4"/>
  </cols>
  <sheetData>
    <row r="1" spans="1:10" ht="21" customHeight="1" x14ac:dyDescent="0.25">
      <c r="A1" s="69" t="s">
        <v>2</v>
      </c>
      <c r="B1" s="69"/>
      <c r="C1" s="69"/>
      <c r="D1" s="69"/>
      <c r="E1" s="69"/>
      <c r="J1" s="31" t="s">
        <v>27</v>
      </c>
    </row>
    <row r="2" spans="1:10" ht="21" customHeight="1" x14ac:dyDescent="0.25">
      <c r="A2" s="69" t="s">
        <v>85</v>
      </c>
      <c r="B2" s="69"/>
      <c r="C2" s="69"/>
      <c r="D2" s="69"/>
      <c r="E2" s="69"/>
      <c r="I2" s="13" t="s">
        <v>28</v>
      </c>
    </row>
    <row r="3" spans="1:10" ht="21" customHeight="1" x14ac:dyDescent="0.25">
      <c r="A3" s="42" t="s">
        <v>8</v>
      </c>
      <c r="B3" s="13" t="s">
        <v>51</v>
      </c>
      <c r="C3" s="13" t="s">
        <v>52</v>
      </c>
      <c r="D3" s="13" t="s">
        <v>54</v>
      </c>
      <c r="E3" s="13" t="s">
        <v>37</v>
      </c>
      <c r="F3" s="13" t="s">
        <v>75</v>
      </c>
      <c r="G3" s="23">
        <f>COUNTA(B:B)-1</f>
        <v>250</v>
      </c>
      <c r="I3" s="13" t="s">
        <v>29</v>
      </c>
    </row>
    <row r="4" spans="1:10" ht="15" customHeight="1" x14ac:dyDescent="0.25">
      <c r="A4" s="40">
        <v>1</v>
      </c>
      <c r="B4" s="4" t="s">
        <v>101</v>
      </c>
      <c r="C4" s="4" t="s">
        <v>104</v>
      </c>
      <c r="D4" s="4">
        <v>12345678</v>
      </c>
      <c r="E4" s="4">
        <v>1001</v>
      </c>
    </row>
    <row r="5" spans="1:10" ht="15" customHeight="1" x14ac:dyDescent="0.25">
      <c r="A5" s="40">
        <v>2</v>
      </c>
      <c r="B5" s="4" t="s">
        <v>101</v>
      </c>
      <c r="C5" s="4" t="s">
        <v>102</v>
      </c>
      <c r="D5" s="4">
        <v>12345679</v>
      </c>
      <c r="E5" s="4">
        <v>1008</v>
      </c>
    </row>
    <row r="6" spans="1:10" ht="15" customHeight="1" x14ac:dyDescent="0.25">
      <c r="A6" s="40">
        <v>3</v>
      </c>
      <c r="B6" s="4" t="s">
        <v>101</v>
      </c>
      <c r="C6" s="4" t="s">
        <v>102</v>
      </c>
      <c r="D6" s="4">
        <v>12345680</v>
      </c>
      <c r="E6" s="4">
        <v>1015</v>
      </c>
    </row>
    <row r="7" spans="1:10" ht="15" customHeight="1" x14ac:dyDescent="0.25">
      <c r="A7" s="40">
        <v>4</v>
      </c>
      <c r="B7" s="4" t="s">
        <v>101</v>
      </c>
      <c r="C7" s="4" t="s">
        <v>102</v>
      </c>
      <c r="D7" s="4">
        <v>12345681</v>
      </c>
      <c r="E7" s="4">
        <v>1022</v>
      </c>
    </row>
    <row r="8" spans="1:10" ht="15" customHeight="1" x14ac:dyDescent="0.25">
      <c r="A8" s="40">
        <v>5</v>
      </c>
      <c r="B8" s="4" t="s">
        <v>101</v>
      </c>
      <c r="C8" s="4" t="s">
        <v>102</v>
      </c>
      <c r="D8" s="4">
        <v>12345682</v>
      </c>
      <c r="E8" s="4">
        <v>1029</v>
      </c>
    </row>
    <row r="9" spans="1:10" ht="15" customHeight="1" x14ac:dyDescent="0.25">
      <c r="A9" s="40">
        <v>6</v>
      </c>
      <c r="B9" s="4" t="s">
        <v>101</v>
      </c>
      <c r="C9" s="4" t="s">
        <v>102</v>
      </c>
      <c r="D9" s="4">
        <v>12345683</v>
      </c>
      <c r="E9" s="4">
        <v>1036</v>
      </c>
    </row>
    <row r="10" spans="1:10" ht="15" customHeight="1" x14ac:dyDescent="0.25">
      <c r="A10" s="40">
        <v>7</v>
      </c>
      <c r="B10" s="4" t="s">
        <v>101</v>
      </c>
      <c r="C10" s="4" t="s">
        <v>102</v>
      </c>
      <c r="D10" s="4">
        <v>12345684</v>
      </c>
      <c r="E10" s="4">
        <v>1043</v>
      </c>
    </row>
    <row r="11" spans="1:10" ht="15" customHeight="1" x14ac:dyDescent="0.25">
      <c r="A11" s="40">
        <v>8</v>
      </c>
      <c r="B11" s="4" t="s">
        <v>101</v>
      </c>
      <c r="C11" s="4" t="s">
        <v>102</v>
      </c>
      <c r="D11" s="4">
        <v>12345685</v>
      </c>
      <c r="E11" s="4">
        <v>1050</v>
      </c>
    </row>
    <row r="12" spans="1:10" ht="15" customHeight="1" x14ac:dyDescent="0.25">
      <c r="A12" s="40">
        <v>9</v>
      </c>
      <c r="B12" s="4" t="s">
        <v>101</v>
      </c>
      <c r="C12" s="4" t="s">
        <v>102</v>
      </c>
      <c r="D12" s="4">
        <v>12345686</v>
      </c>
      <c r="E12" s="4">
        <v>1057</v>
      </c>
    </row>
    <row r="13" spans="1:10" ht="15" customHeight="1" x14ac:dyDescent="0.25">
      <c r="A13" s="40">
        <v>10</v>
      </c>
      <c r="B13" s="4" t="s">
        <v>101</v>
      </c>
      <c r="C13" s="4" t="s">
        <v>102</v>
      </c>
      <c r="D13" s="4">
        <v>12345687</v>
      </c>
      <c r="E13" s="4">
        <v>1064</v>
      </c>
    </row>
    <row r="14" spans="1:10" ht="15" customHeight="1" x14ac:dyDescent="0.25">
      <c r="A14" s="40">
        <v>11</v>
      </c>
      <c r="B14" s="4" t="s">
        <v>101</v>
      </c>
      <c r="C14" s="4" t="s">
        <v>102</v>
      </c>
      <c r="D14" s="4">
        <v>12345688</v>
      </c>
      <c r="E14" s="4">
        <v>1071</v>
      </c>
    </row>
    <row r="15" spans="1:10" ht="15" customHeight="1" x14ac:dyDescent="0.25">
      <c r="A15" s="40">
        <v>12</v>
      </c>
      <c r="B15" s="4" t="s">
        <v>101</v>
      </c>
      <c r="C15" s="4" t="s">
        <v>102</v>
      </c>
      <c r="D15" s="4">
        <v>12345689</v>
      </c>
      <c r="E15" s="4">
        <v>1078</v>
      </c>
    </row>
    <row r="16" spans="1:10" ht="15" customHeight="1" x14ac:dyDescent="0.25">
      <c r="A16" s="40">
        <v>13</v>
      </c>
      <c r="B16" s="4" t="s">
        <v>101</v>
      </c>
      <c r="C16" s="4" t="s">
        <v>102</v>
      </c>
      <c r="D16" s="4">
        <v>12345690</v>
      </c>
      <c r="E16" s="4">
        <v>1085</v>
      </c>
    </row>
    <row r="17" spans="1:5" ht="15" customHeight="1" x14ac:dyDescent="0.25">
      <c r="A17" s="40">
        <v>14</v>
      </c>
      <c r="B17" s="4" t="s">
        <v>101</v>
      </c>
      <c r="C17" s="4" t="s">
        <v>102</v>
      </c>
      <c r="D17" s="4">
        <v>12345691</v>
      </c>
      <c r="E17" s="4">
        <v>1092</v>
      </c>
    </row>
    <row r="18" spans="1:5" ht="15" customHeight="1" x14ac:dyDescent="0.25">
      <c r="A18" s="40">
        <v>15</v>
      </c>
      <c r="B18" s="4" t="s">
        <v>101</v>
      </c>
      <c r="C18" s="4" t="s">
        <v>102</v>
      </c>
      <c r="D18" s="4">
        <v>12345692</v>
      </c>
      <c r="E18" s="4">
        <v>1099</v>
      </c>
    </row>
    <row r="19" spans="1:5" ht="15" customHeight="1" x14ac:dyDescent="0.25">
      <c r="A19" s="40">
        <v>16</v>
      </c>
      <c r="B19" s="4" t="s">
        <v>101</v>
      </c>
      <c r="C19" s="4" t="s">
        <v>102</v>
      </c>
      <c r="D19" s="4">
        <v>12345693</v>
      </c>
      <c r="E19" s="4">
        <v>1106</v>
      </c>
    </row>
    <row r="20" spans="1:5" ht="15" customHeight="1" x14ac:dyDescent="0.25">
      <c r="A20" s="40">
        <v>17</v>
      </c>
      <c r="B20" s="4" t="s">
        <v>101</v>
      </c>
      <c r="C20" s="4" t="s">
        <v>102</v>
      </c>
      <c r="D20" s="4">
        <v>12345694</v>
      </c>
      <c r="E20" s="4">
        <v>1113</v>
      </c>
    </row>
    <row r="21" spans="1:5" ht="15" customHeight="1" x14ac:dyDescent="0.25">
      <c r="A21" s="40">
        <v>18</v>
      </c>
      <c r="B21" s="4" t="s">
        <v>101</v>
      </c>
      <c r="C21" s="4" t="s">
        <v>102</v>
      </c>
      <c r="D21" s="4">
        <v>12345695</v>
      </c>
      <c r="E21" s="4">
        <v>1120</v>
      </c>
    </row>
    <row r="22" spans="1:5" ht="15" customHeight="1" x14ac:dyDescent="0.25">
      <c r="A22" s="40">
        <v>19</v>
      </c>
      <c r="B22" s="4" t="s">
        <v>101</v>
      </c>
      <c r="C22" s="4" t="s">
        <v>102</v>
      </c>
      <c r="D22" s="4">
        <v>12345696</v>
      </c>
      <c r="E22" s="4">
        <v>1127</v>
      </c>
    </row>
    <row r="23" spans="1:5" ht="15" customHeight="1" x14ac:dyDescent="0.25">
      <c r="A23" s="40">
        <v>20</v>
      </c>
      <c r="B23" s="4" t="s">
        <v>101</v>
      </c>
      <c r="C23" s="4" t="s">
        <v>102</v>
      </c>
      <c r="D23" s="4">
        <v>12345697</v>
      </c>
      <c r="E23" s="4">
        <v>1134</v>
      </c>
    </row>
    <row r="24" spans="1:5" ht="15" customHeight="1" x14ac:dyDescent="0.25">
      <c r="A24" s="40">
        <v>21</v>
      </c>
      <c r="B24" s="4" t="s">
        <v>101</v>
      </c>
      <c r="C24" s="4" t="s">
        <v>102</v>
      </c>
      <c r="D24" s="4">
        <v>12345698</v>
      </c>
      <c r="E24" s="4">
        <v>1141</v>
      </c>
    </row>
    <row r="25" spans="1:5" ht="15" customHeight="1" x14ac:dyDescent="0.25">
      <c r="A25" s="40">
        <v>22</v>
      </c>
      <c r="B25" s="4" t="s">
        <v>101</v>
      </c>
      <c r="C25" s="4" t="s">
        <v>102</v>
      </c>
      <c r="D25" s="4">
        <v>12345699</v>
      </c>
      <c r="E25" s="4">
        <v>1148</v>
      </c>
    </row>
    <row r="26" spans="1:5" ht="15" customHeight="1" x14ac:dyDescent="0.25">
      <c r="A26" s="40">
        <v>23</v>
      </c>
      <c r="B26" s="4" t="s">
        <v>101</v>
      </c>
      <c r="C26" s="4" t="s">
        <v>102</v>
      </c>
      <c r="D26" s="4">
        <v>12345700</v>
      </c>
      <c r="E26" s="4">
        <v>1155</v>
      </c>
    </row>
    <row r="27" spans="1:5" ht="15" customHeight="1" x14ac:dyDescent="0.25">
      <c r="A27" s="40">
        <v>24</v>
      </c>
      <c r="B27" s="4" t="s">
        <v>101</v>
      </c>
      <c r="C27" s="4" t="s">
        <v>102</v>
      </c>
      <c r="D27" s="4">
        <v>12345701</v>
      </c>
      <c r="E27" s="4">
        <v>1162</v>
      </c>
    </row>
    <row r="28" spans="1:5" ht="15" customHeight="1" x14ac:dyDescent="0.25">
      <c r="A28" s="40">
        <v>25</v>
      </c>
      <c r="B28" s="4" t="s">
        <v>101</v>
      </c>
      <c r="C28" s="4" t="s">
        <v>102</v>
      </c>
      <c r="D28" s="4">
        <v>12345702</v>
      </c>
      <c r="E28" s="4">
        <v>1169</v>
      </c>
    </row>
    <row r="29" spans="1:5" ht="15" customHeight="1" x14ac:dyDescent="0.25">
      <c r="A29" s="40">
        <v>26</v>
      </c>
      <c r="B29" s="4" t="s">
        <v>101</v>
      </c>
      <c r="C29" s="4" t="s">
        <v>102</v>
      </c>
      <c r="D29" s="4">
        <v>12345703</v>
      </c>
      <c r="E29" s="4">
        <v>1176</v>
      </c>
    </row>
    <row r="30" spans="1:5" ht="15" customHeight="1" x14ac:dyDescent="0.25">
      <c r="A30" s="40">
        <v>27</v>
      </c>
      <c r="B30" s="4" t="s">
        <v>101</v>
      </c>
      <c r="C30" s="4" t="s">
        <v>102</v>
      </c>
      <c r="D30" s="4">
        <v>12345704</v>
      </c>
      <c r="E30" s="4">
        <v>1183</v>
      </c>
    </row>
    <row r="31" spans="1:5" ht="15" customHeight="1" x14ac:dyDescent="0.25">
      <c r="A31" s="40">
        <v>28</v>
      </c>
      <c r="B31" s="4" t="s">
        <v>101</v>
      </c>
      <c r="C31" s="4" t="s">
        <v>102</v>
      </c>
      <c r="D31" s="4">
        <v>12345705</v>
      </c>
      <c r="E31" s="4">
        <v>1190</v>
      </c>
    </row>
    <row r="32" spans="1:5" ht="15" customHeight="1" x14ac:dyDescent="0.25">
      <c r="A32" s="40">
        <v>29</v>
      </c>
      <c r="B32" s="4" t="s">
        <v>101</v>
      </c>
      <c r="C32" s="4" t="s">
        <v>102</v>
      </c>
      <c r="D32" s="4">
        <v>12345706</v>
      </c>
      <c r="E32" s="4">
        <v>1197</v>
      </c>
    </row>
    <row r="33" spans="1:5" ht="15" customHeight="1" x14ac:dyDescent="0.25">
      <c r="A33" s="40">
        <v>30</v>
      </c>
      <c r="B33" s="4" t="s">
        <v>101</v>
      </c>
      <c r="C33" s="4" t="s">
        <v>102</v>
      </c>
      <c r="D33" s="4">
        <v>12345707</v>
      </c>
      <c r="E33" s="4">
        <v>1204</v>
      </c>
    </row>
    <row r="34" spans="1:5" ht="15" customHeight="1" x14ac:dyDescent="0.25">
      <c r="A34" s="40">
        <v>31</v>
      </c>
      <c r="B34" s="4" t="s">
        <v>101</v>
      </c>
      <c r="C34" s="4" t="s">
        <v>102</v>
      </c>
      <c r="D34" s="4">
        <v>12345708</v>
      </c>
      <c r="E34" s="4">
        <v>1211</v>
      </c>
    </row>
    <row r="35" spans="1:5" ht="15" customHeight="1" x14ac:dyDescent="0.25">
      <c r="A35" s="40">
        <v>32</v>
      </c>
      <c r="B35" s="4" t="s">
        <v>101</v>
      </c>
      <c r="C35" s="4" t="s">
        <v>102</v>
      </c>
      <c r="D35" s="4">
        <v>12345709</v>
      </c>
      <c r="E35" s="4">
        <v>1218</v>
      </c>
    </row>
    <row r="36" spans="1:5" ht="15" customHeight="1" x14ac:dyDescent="0.25">
      <c r="A36" s="40">
        <v>33</v>
      </c>
      <c r="B36" s="4" t="s">
        <v>101</v>
      </c>
      <c r="C36" s="4" t="s">
        <v>102</v>
      </c>
      <c r="D36" s="4">
        <v>12345710</v>
      </c>
      <c r="E36" s="4">
        <v>1225</v>
      </c>
    </row>
    <row r="37" spans="1:5" ht="15" customHeight="1" x14ac:dyDescent="0.25">
      <c r="A37" s="40">
        <v>34</v>
      </c>
      <c r="B37" s="4" t="s">
        <v>101</v>
      </c>
      <c r="C37" s="4" t="s">
        <v>102</v>
      </c>
      <c r="D37" s="4">
        <v>12345711</v>
      </c>
      <c r="E37" s="4">
        <v>1232</v>
      </c>
    </row>
    <row r="38" spans="1:5" ht="15" customHeight="1" x14ac:dyDescent="0.25">
      <c r="A38" s="40">
        <v>35</v>
      </c>
      <c r="B38" s="4" t="s">
        <v>101</v>
      </c>
      <c r="C38" s="4" t="s">
        <v>102</v>
      </c>
      <c r="D38" s="4">
        <v>12345712</v>
      </c>
      <c r="E38" s="4">
        <v>1239</v>
      </c>
    </row>
    <row r="39" spans="1:5" ht="15" customHeight="1" x14ac:dyDescent="0.25">
      <c r="A39" s="40">
        <v>36</v>
      </c>
      <c r="B39" s="4" t="s">
        <v>101</v>
      </c>
      <c r="C39" s="4" t="s">
        <v>102</v>
      </c>
      <c r="D39" s="4">
        <v>12345713</v>
      </c>
      <c r="E39" s="4">
        <v>1246</v>
      </c>
    </row>
    <row r="40" spans="1:5" ht="15" customHeight="1" x14ac:dyDescent="0.25">
      <c r="A40" s="40">
        <v>37</v>
      </c>
      <c r="B40" s="4" t="s">
        <v>101</v>
      </c>
      <c r="C40" s="4" t="s">
        <v>102</v>
      </c>
      <c r="D40" s="4">
        <v>12345714</v>
      </c>
      <c r="E40" s="4">
        <v>1253</v>
      </c>
    </row>
    <row r="41" spans="1:5" ht="15" customHeight="1" x14ac:dyDescent="0.25">
      <c r="A41" s="40">
        <v>38</v>
      </c>
      <c r="B41" s="4" t="s">
        <v>101</v>
      </c>
      <c r="C41" s="4" t="s">
        <v>102</v>
      </c>
      <c r="D41" s="4">
        <v>12345715</v>
      </c>
      <c r="E41" s="4">
        <v>1260</v>
      </c>
    </row>
    <row r="42" spans="1:5" ht="15" customHeight="1" x14ac:dyDescent="0.25">
      <c r="A42" s="40">
        <v>39</v>
      </c>
      <c r="B42" s="4" t="s">
        <v>101</v>
      </c>
      <c r="C42" s="4" t="s">
        <v>102</v>
      </c>
      <c r="D42" s="4">
        <v>12345716</v>
      </c>
      <c r="E42" s="4">
        <v>1267</v>
      </c>
    </row>
    <row r="43" spans="1:5" ht="15" customHeight="1" x14ac:dyDescent="0.25">
      <c r="A43" s="40">
        <v>40</v>
      </c>
      <c r="B43" s="4" t="s">
        <v>101</v>
      </c>
      <c r="C43" s="4" t="s">
        <v>102</v>
      </c>
      <c r="D43" s="4">
        <v>12345717</v>
      </c>
      <c r="E43" s="4">
        <v>1274</v>
      </c>
    </row>
    <row r="44" spans="1:5" ht="15" customHeight="1" x14ac:dyDescent="0.25">
      <c r="A44" s="40">
        <v>41</v>
      </c>
      <c r="B44" s="4" t="s">
        <v>101</v>
      </c>
      <c r="C44" s="4" t="s">
        <v>102</v>
      </c>
      <c r="D44" s="4">
        <v>12345718</v>
      </c>
      <c r="E44" s="4">
        <v>1281</v>
      </c>
    </row>
    <row r="45" spans="1:5" ht="15" customHeight="1" x14ac:dyDescent="0.25">
      <c r="A45" s="40">
        <v>42</v>
      </c>
      <c r="B45" s="4" t="s">
        <v>101</v>
      </c>
      <c r="C45" s="4" t="s">
        <v>102</v>
      </c>
      <c r="D45" s="4">
        <v>12345719</v>
      </c>
      <c r="E45" s="4">
        <v>1288</v>
      </c>
    </row>
    <row r="46" spans="1:5" ht="15" customHeight="1" x14ac:dyDescent="0.25">
      <c r="A46" s="40">
        <v>43</v>
      </c>
      <c r="B46" s="4" t="s">
        <v>101</v>
      </c>
      <c r="C46" s="4" t="s">
        <v>102</v>
      </c>
      <c r="D46" s="4">
        <v>12345720</v>
      </c>
      <c r="E46" s="4">
        <v>1295</v>
      </c>
    </row>
    <row r="47" spans="1:5" ht="15" customHeight="1" x14ac:dyDescent="0.25">
      <c r="A47" s="40">
        <v>44</v>
      </c>
      <c r="B47" s="4" t="s">
        <v>101</v>
      </c>
      <c r="C47" s="4" t="s">
        <v>102</v>
      </c>
      <c r="D47" s="4">
        <v>12345721</v>
      </c>
      <c r="E47" s="4">
        <v>1302</v>
      </c>
    </row>
    <row r="48" spans="1:5" ht="15" customHeight="1" x14ac:dyDescent="0.25">
      <c r="A48" s="40">
        <v>45</v>
      </c>
      <c r="B48" s="4" t="s">
        <v>101</v>
      </c>
      <c r="C48" s="4" t="s">
        <v>102</v>
      </c>
      <c r="D48" s="4">
        <v>12345722</v>
      </c>
      <c r="E48" s="4">
        <v>1309</v>
      </c>
    </row>
    <row r="49" spans="1:5" ht="15" customHeight="1" x14ac:dyDescent="0.25">
      <c r="A49" s="40">
        <v>46</v>
      </c>
      <c r="B49" s="4" t="s">
        <v>101</v>
      </c>
      <c r="C49" s="4" t="s">
        <v>102</v>
      </c>
      <c r="D49" s="4">
        <v>12345723</v>
      </c>
      <c r="E49" s="4">
        <v>1316</v>
      </c>
    </row>
    <row r="50" spans="1:5" ht="15" customHeight="1" x14ac:dyDescent="0.25">
      <c r="A50" s="40">
        <v>47</v>
      </c>
      <c r="B50" s="4" t="s">
        <v>101</v>
      </c>
      <c r="C50" s="4" t="s">
        <v>102</v>
      </c>
      <c r="D50" s="4">
        <v>12345724</v>
      </c>
      <c r="E50" s="4">
        <v>1323</v>
      </c>
    </row>
    <row r="51" spans="1:5" ht="15" customHeight="1" x14ac:dyDescent="0.25">
      <c r="A51" s="40">
        <v>48</v>
      </c>
      <c r="B51" s="4" t="s">
        <v>101</v>
      </c>
      <c r="C51" s="4" t="s">
        <v>102</v>
      </c>
      <c r="D51" s="4">
        <v>12345725</v>
      </c>
      <c r="E51" s="4">
        <v>1330</v>
      </c>
    </row>
    <row r="52" spans="1:5" ht="15" customHeight="1" x14ac:dyDescent="0.25">
      <c r="A52" s="40">
        <v>49</v>
      </c>
      <c r="B52" s="4" t="s">
        <v>101</v>
      </c>
      <c r="C52" s="4" t="s">
        <v>102</v>
      </c>
      <c r="D52" s="4">
        <v>12345726</v>
      </c>
      <c r="E52" s="4">
        <v>1337</v>
      </c>
    </row>
    <row r="53" spans="1:5" ht="15" customHeight="1" x14ac:dyDescent="0.25">
      <c r="A53" s="40">
        <v>50</v>
      </c>
      <c r="B53" s="4" t="s">
        <v>101</v>
      </c>
      <c r="C53" s="4" t="s">
        <v>102</v>
      </c>
      <c r="D53" s="4">
        <v>12345727</v>
      </c>
      <c r="E53" s="4">
        <v>1344</v>
      </c>
    </row>
    <row r="54" spans="1:5" ht="15" customHeight="1" x14ac:dyDescent="0.25">
      <c r="A54" s="40">
        <v>51</v>
      </c>
      <c r="B54" s="4" t="s">
        <v>101</v>
      </c>
      <c r="C54" s="4" t="s">
        <v>102</v>
      </c>
      <c r="D54" s="4">
        <v>12345728</v>
      </c>
      <c r="E54" s="4">
        <v>1351</v>
      </c>
    </row>
    <row r="55" spans="1:5" ht="15" customHeight="1" x14ac:dyDescent="0.25">
      <c r="A55" s="40">
        <v>52</v>
      </c>
      <c r="B55" s="4" t="s">
        <v>101</v>
      </c>
      <c r="C55" s="4" t="s">
        <v>102</v>
      </c>
      <c r="D55" s="4">
        <v>12345729</v>
      </c>
      <c r="E55" s="4">
        <v>1358</v>
      </c>
    </row>
    <row r="56" spans="1:5" ht="15" customHeight="1" x14ac:dyDescent="0.25">
      <c r="A56" s="40">
        <v>53</v>
      </c>
      <c r="B56" s="4" t="s">
        <v>101</v>
      </c>
      <c r="C56" s="4" t="s">
        <v>102</v>
      </c>
      <c r="D56" s="4">
        <v>12345730</v>
      </c>
      <c r="E56" s="4">
        <v>1365</v>
      </c>
    </row>
    <row r="57" spans="1:5" ht="15" customHeight="1" x14ac:dyDescent="0.25">
      <c r="A57" s="40">
        <v>54</v>
      </c>
      <c r="B57" s="4" t="s">
        <v>101</v>
      </c>
      <c r="C57" s="4" t="s">
        <v>102</v>
      </c>
      <c r="D57" s="4">
        <v>12345731</v>
      </c>
      <c r="E57" s="4">
        <v>1372</v>
      </c>
    </row>
    <row r="58" spans="1:5" ht="15" customHeight="1" x14ac:dyDescent="0.25">
      <c r="A58" s="40">
        <v>55</v>
      </c>
      <c r="B58" s="4" t="s">
        <v>101</v>
      </c>
      <c r="C58" s="4" t="s">
        <v>102</v>
      </c>
      <c r="D58" s="4">
        <v>12345732</v>
      </c>
      <c r="E58" s="4">
        <v>1379</v>
      </c>
    </row>
    <row r="59" spans="1:5" ht="15" customHeight="1" x14ac:dyDescent="0.25">
      <c r="A59" s="40">
        <v>56</v>
      </c>
      <c r="B59" s="4" t="s">
        <v>101</v>
      </c>
      <c r="C59" s="4" t="s">
        <v>102</v>
      </c>
      <c r="D59" s="4">
        <v>12345733</v>
      </c>
      <c r="E59" s="4">
        <v>1386</v>
      </c>
    </row>
    <row r="60" spans="1:5" ht="15" customHeight="1" x14ac:dyDescent="0.25">
      <c r="A60" s="40">
        <v>57</v>
      </c>
      <c r="B60" s="4" t="s">
        <v>101</v>
      </c>
      <c r="C60" s="4" t="s">
        <v>102</v>
      </c>
      <c r="D60" s="4">
        <v>12345734</v>
      </c>
      <c r="E60" s="4">
        <v>1393</v>
      </c>
    </row>
    <row r="61" spans="1:5" ht="15" customHeight="1" x14ac:dyDescent="0.25">
      <c r="A61" s="40">
        <v>58</v>
      </c>
      <c r="B61" s="4" t="s">
        <v>101</v>
      </c>
      <c r="C61" s="4" t="s">
        <v>102</v>
      </c>
      <c r="D61" s="4">
        <v>12345735</v>
      </c>
      <c r="E61" s="4">
        <v>1400</v>
      </c>
    </row>
    <row r="62" spans="1:5" ht="15" customHeight="1" x14ac:dyDescent="0.25">
      <c r="A62" s="40">
        <v>59</v>
      </c>
      <c r="B62" s="4" t="s">
        <v>101</v>
      </c>
      <c r="C62" s="4" t="s">
        <v>102</v>
      </c>
      <c r="D62" s="4">
        <v>12345736</v>
      </c>
      <c r="E62" s="4">
        <v>1407</v>
      </c>
    </row>
    <row r="63" spans="1:5" ht="15" customHeight="1" x14ac:dyDescent="0.25">
      <c r="A63" s="40">
        <v>60</v>
      </c>
      <c r="B63" s="4" t="s">
        <v>101</v>
      </c>
      <c r="C63" s="4" t="s">
        <v>102</v>
      </c>
      <c r="D63" s="4">
        <v>12345737</v>
      </c>
      <c r="E63" s="4">
        <v>1414</v>
      </c>
    </row>
    <row r="64" spans="1:5" ht="15" customHeight="1" x14ac:dyDescent="0.25">
      <c r="A64" s="40">
        <v>61</v>
      </c>
      <c r="B64" s="4" t="s">
        <v>101</v>
      </c>
      <c r="C64" s="4" t="s">
        <v>102</v>
      </c>
      <c r="D64" s="4">
        <v>12345738</v>
      </c>
      <c r="E64" s="4">
        <v>1421</v>
      </c>
    </row>
    <row r="65" spans="1:5" ht="15" customHeight="1" x14ac:dyDescent="0.25">
      <c r="A65" s="40">
        <v>62</v>
      </c>
      <c r="B65" s="4" t="s">
        <v>101</v>
      </c>
      <c r="C65" s="4" t="s">
        <v>102</v>
      </c>
      <c r="D65" s="4">
        <v>12345739</v>
      </c>
      <c r="E65" s="4">
        <v>1428</v>
      </c>
    </row>
    <row r="66" spans="1:5" ht="15" customHeight="1" x14ac:dyDescent="0.25">
      <c r="A66" s="40">
        <v>63</v>
      </c>
      <c r="B66" s="4" t="s">
        <v>101</v>
      </c>
      <c r="C66" s="4" t="s">
        <v>102</v>
      </c>
      <c r="D66" s="4">
        <v>12345740</v>
      </c>
      <c r="E66" s="4">
        <v>1435</v>
      </c>
    </row>
    <row r="67" spans="1:5" ht="15" customHeight="1" x14ac:dyDescent="0.25">
      <c r="A67" s="40">
        <v>64</v>
      </c>
      <c r="B67" s="4" t="s">
        <v>101</v>
      </c>
      <c r="C67" s="4" t="s">
        <v>102</v>
      </c>
      <c r="D67" s="4">
        <v>12345741</v>
      </c>
      <c r="E67" s="4">
        <v>1442</v>
      </c>
    </row>
    <row r="68" spans="1:5" ht="15" customHeight="1" x14ac:dyDescent="0.25">
      <c r="A68" s="40">
        <v>65</v>
      </c>
      <c r="B68" s="4" t="s">
        <v>101</v>
      </c>
      <c r="C68" s="4" t="s">
        <v>102</v>
      </c>
      <c r="D68" s="4">
        <v>12345742</v>
      </c>
      <c r="E68" s="4">
        <v>1449</v>
      </c>
    </row>
    <row r="69" spans="1:5" ht="15" customHeight="1" x14ac:dyDescent="0.25">
      <c r="A69" s="40">
        <v>66</v>
      </c>
      <c r="B69" s="4" t="s">
        <v>101</v>
      </c>
      <c r="C69" s="4" t="s">
        <v>102</v>
      </c>
      <c r="D69" s="4">
        <v>12345743</v>
      </c>
      <c r="E69" s="4">
        <v>1456</v>
      </c>
    </row>
    <row r="70" spans="1:5" ht="15" customHeight="1" x14ac:dyDescent="0.25">
      <c r="A70" s="40">
        <v>67</v>
      </c>
      <c r="B70" s="4" t="s">
        <v>101</v>
      </c>
      <c r="C70" s="4" t="s">
        <v>102</v>
      </c>
      <c r="D70" s="4">
        <v>12345744</v>
      </c>
      <c r="E70" s="4">
        <v>1463</v>
      </c>
    </row>
    <row r="71" spans="1:5" ht="15" customHeight="1" x14ac:dyDescent="0.25">
      <c r="A71" s="40">
        <v>68</v>
      </c>
      <c r="B71" s="4" t="s">
        <v>101</v>
      </c>
      <c r="C71" s="4" t="s">
        <v>102</v>
      </c>
      <c r="D71" s="4">
        <v>12345745</v>
      </c>
      <c r="E71" s="4">
        <v>1470</v>
      </c>
    </row>
    <row r="72" spans="1:5" ht="15" customHeight="1" x14ac:dyDescent="0.25">
      <c r="A72" s="40">
        <v>69</v>
      </c>
      <c r="B72" s="4" t="s">
        <v>101</v>
      </c>
      <c r="C72" s="4" t="s">
        <v>102</v>
      </c>
      <c r="D72" s="4">
        <v>12345746</v>
      </c>
      <c r="E72" s="4">
        <v>1477</v>
      </c>
    </row>
    <row r="73" spans="1:5" ht="15" customHeight="1" x14ac:dyDescent="0.25">
      <c r="A73" s="40">
        <v>70</v>
      </c>
      <c r="B73" s="4" t="s">
        <v>101</v>
      </c>
      <c r="C73" s="4" t="s">
        <v>102</v>
      </c>
      <c r="D73" s="4">
        <v>12345747</v>
      </c>
      <c r="E73" s="4">
        <v>1484</v>
      </c>
    </row>
    <row r="74" spans="1:5" ht="15" customHeight="1" x14ac:dyDescent="0.25">
      <c r="A74" s="40">
        <v>71</v>
      </c>
      <c r="B74" s="4" t="s">
        <v>101</v>
      </c>
      <c r="C74" s="4" t="s">
        <v>102</v>
      </c>
      <c r="D74" s="4">
        <v>12345748</v>
      </c>
      <c r="E74" s="4">
        <v>1491</v>
      </c>
    </row>
    <row r="75" spans="1:5" ht="15" customHeight="1" x14ac:dyDescent="0.25">
      <c r="A75" s="40">
        <v>72</v>
      </c>
      <c r="B75" s="4" t="s">
        <v>101</v>
      </c>
      <c r="C75" s="4" t="s">
        <v>102</v>
      </c>
      <c r="D75" s="4">
        <v>12345749</v>
      </c>
      <c r="E75" s="4">
        <v>1498</v>
      </c>
    </row>
    <row r="76" spans="1:5" ht="15" customHeight="1" x14ac:dyDescent="0.25">
      <c r="A76" s="40">
        <v>73</v>
      </c>
      <c r="B76" s="4" t="s">
        <v>101</v>
      </c>
      <c r="C76" s="4" t="s">
        <v>102</v>
      </c>
      <c r="D76" s="4">
        <v>12345750</v>
      </c>
      <c r="E76" s="4">
        <v>1505</v>
      </c>
    </row>
    <row r="77" spans="1:5" ht="15" customHeight="1" x14ac:dyDescent="0.25">
      <c r="A77" s="40">
        <v>74</v>
      </c>
      <c r="B77" s="4" t="s">
        <v>101</v>
      </c>
      <c r="C77" s="4" t="s">
        <v>102</v>
      </c>
      <c r="D77" s="4">
        <v>12345751</v>
      </c>
      <c r="E77" s="4">
        <v>1512</v>
      </c>
    </row>
    <row r="78" spans="1:5" ht="15" customHeight="1" x14ac:dyDescent="0.25">
      <c r="A78" s="40">
        <v>75</v>
      </c>
      <c r="B78" s="4" t="s">
        <v>101</v>
      </c>
      <c r="C78" s="4" t="s">
        <v>102</v>
      </c>
      <c r="D78" s="4">
        <v>12345752</v>
      </c>
      <c r="E78" s="4">
        <v>1519</v>
      </c>
    </row>
    <row r="79" spans="1:5" ht="15" customHeight="1" x14ac:dyDescent="0.25">
      <c r="A79" s="40">
        <v>76</v>
      </c>
      <c r="B79" s="4" t="s">
        <v>101</v>
      </c>
      <c r="C79" s="4" t="s">
        <v>102</v>
      </c>
      <c r="D79" s="4">
        <v>12345753</v>
      </c>
      <c r="E79" s="4">
        <v>1526</v>
      </c>
    </row>
    <row r="80" spans="1:5" ht="15" customHeight="1" x14ac:dyDescent="0.25">
      <c r="A80" s="40">
        <v>77</v>
      </c>
      <c r="B80" s="4" t="s">
        <v>101</v>
      </c>
      <c r="C80" s="4" t="s">
        <v>102</v>
      </c>
      <c r="D80" s="4">
        <v>12345754</v>
      </c>
      <c r="E80" s="4">
        <v>1533</v>
      </c>
    </row>
    <row r="81" spans="1:5" ht="15" customHeight="1" x14ac:dyDescent="0.25">
      <c r="A81" s="40">
        <v>78</v>
      </c>
      <c r="B81" s="4" t="s">
        <v>101</v>
      </c>
      <c r="C81" s="4" t="s">
        <v>102</v>
      </c>
      <c r="D81" s="4">
        <v>12345755</v>
      </c>
      <c r="E81" s="4">
        <v>1540</v>
      </c>
    </row>
    <row r="82" spans="1:5" ht="15" customHeight="1" x14ac:dyDescent="0.25">
      <c r="A82" s="40">
        <v>79</v>
      </c>
      <c r="B82" s="4" t="s">
        <v>101</v>
      </c>
      <c r="C82" s="4" t="s">
        <v>102</v>
      </c>
      <c r="D82" s="4">
        <v>12345756</v>
      </c>
      <c r="E82" s="4">
        <v>1547</v>
      </c>
    </row>
    <row r="83" spans="1:5" ht="15" customHeight="1" x14ac:dyDescent="0.25">
      <c r="A83" s="40">
        <v>80</v>
      </c>
      <c r="B83" s="4" t="s">
        <v>101</v>
      </c>
      <c r="C83" s="4" t="s">
        <v>102</v>
      </c>
      <c r="D83" s="4">
        <v>12345757</v>
      </c>
      <c r="E83" s="4">
        <v>1554</v>
      </c>
    </row>
    <row r="84" spans="1:5" ht="15" customHeight="1" x14ac:dyDescent="0.25">
      <c r="A84" s="40">
        <v>81</v>
      </c>
      <c r="B84" s="4" t="s">
        <v>101</v>
      </c>
      <c r="C84" s="4" t="s">
        <v>102</v>
      </c>
      <c r="D84" s="4">
        <v>12345758</v>
      </c>
      <c r="E84" s="4">
        <v>1561</v>
      </c>
    </row>
    <row r="85" spans="1:5" ht="15" customHeight="1" x14ac:dyDescent="0.25">
      <c r="A85" s="40">
        <v>82</v>
      </c>
      <c r="B85" s="4" t="s">
        <v>101</v>
      </c>
      <c r="C85" s="4" t="s">
        <v>102</v>
      </c>
      <c r="D85" s="4">
        <v>12345759</v>
      </c>
      <c r="E85" s="4">
        <v>1568</v>
      </c>
    </row>
    <row r="86" spans="1:5" ht="15" customHeight="1" x14ac:dyDescent="0.25">
      <c r="A86" s="40">
        <v>83</v>
      </c>
      <c r="B86" s="4" t="s">
        <v>101</v>
      </c>
      <c r="C86" s="4" t="s">
        <v>102</v>
      </c>
      <c r="D86" s="4">
        <v>12345760</v>
      </c>
      <c r="E86" s="4">
        <v>1575</v>
      </c>
    </row>
    <row r="87" spans="1:5" ht="15" customHeight="1" x14ac:dyDescent="0.25">
      <c r="A87" s="40">
        <v>84</v>
      </c>
      <c r="B87" s="4" t="s">
        <v>101</v>
      </c>
      <c r="C87" s="4" t="s">
        <v>102</v>
      </c>
      <c r="D87" s="4">
        <v>12345761</v>
      </c>
      <c r="E87" s="4">
        <v>1582</v>
      </c>
    </row>
    <row r="88" spans="1:5" ht="15" customHeight="1" x14ac:dyDescent="0.25">
      <c r="A88" s="40">
        <v>85</v>
      </c>
      <c r="B88" s="4" t="s">
        <v>101</v>
      </c>
      <c r="C88" s="4" t="s">
        <v>102</v>
      </c>
      <c r="D88" s="4">
        <v>12345762</v>
      </c>
      <c r="E88" s="4">
        <v>1589</v>
      </c>
    </row>
    <row r="89" spans="1:5" ht="15" customHeight="1" x14ac:dyDescent="0.25">
      <c r="A89" s="40">
        <v>86</v>
      </c>
      <c r="B89" s="4" t="s">
        <v>101</v>
      </c>
      <c r="C89" s="4" t="s">
        <v>102</v>
      </c>
      <c r="D89" s="4">
        <v>12345763</v>
      </c>
      <c r="E89" s="4">
        <v>1596</v>
      </c>
    </row>
    <row r="90" spans="1:5" ht="15" customHeight="1" x14ac:dyDescent="0.25">
      <c r="A90" s="40">
        <v>87</v>
      </c>
      <c r="B90" s="4" t="s">
        <v>101</v>
      </c>
      <c r="C90" s="4" t="s">
        <v>102</v>
      </c>
      <c r="D90" s="4">
        <v>12345764</v>
      </c>
      <c r="E90" s="4">
        <v>1603</v>
      </c>
    </row>
    <row r="91" spans="1:5" ht="15" customHeight="1" x14ac:dyDescent="0.25">
      <c r="A91" s="40">
        <v>88</v>
      </c>
      <c r="B91" s="4" t="s">
        <v>101</v>
      </c>
      <c r="C91" s="4" t="s">
        <v>102</v>
      </c>
      <c r="D91" s="4">
        <v>12345765</v>
      </c>
      <c r="E91" s="4">
        <v>1610</v>
      </c>
    </row>
    <row r="92" spans="1:5" ht="15" customHeight="1" x14ac:dyDescent="0.25">
      <c r="A92" s="40">
        <v>89</v>
      </c>
      <c r="B92" s="4" t="s">
        <v>101</v>
      </c>
      <c r="C92" s="4" t="s">
        <v>102</v>
      </c>
      <c r="D92" s="4">
        <v>12345766</v>
      </c>
      <c r="E92" s="4">
        <v>1617</v>
      </c>
    </row>
    <row r="93" spans="1:5" ht="15" customHeight="1" x14ac:dyDescent="0.25">
      <c r="A93" s="40">
        <v>90</v>
      </c>
      <c r="B93" s="4" t="s">
        <v>101</v>
      </c>
      <c r="C93" s="4" t="s">
        <v>102</v>
      </c>
      <c r="D93" s="4">
        <v>12345767</v>
      </c>
      <c r="E93" s="4">
        <v>1624</v>
      </c>
    </row>
    <row r="94" spans="1:5" ht="15" customHeight="1" x14ac:dyDescent="0.25">
      <c r="A94" s="40">
        <v>91</v>
      </c>
      <c r="B94" s="4" t="s">
        <v>101</v>
      </c>
      <c r="C94" s="4" t="s">
        <v>102</v>
      </c>
      <c r="D94" s="4">
        <v>12345768</v>
      </c>
      <c r="E94" s="4">
        <v>1631</v>
      </c>
    </row>
    <row r="95" spans="1:5" ht="15" customHeight="1" x14ac:dyDescent="0.25">
      <c r="A95" s="40">
        <v>92</v>
      </c>
      <c r="B95" s="4" t="s">
        <v>101</v>
      </c>
      <c r="C95" s="4" t="s">
        <v>102</v>
      </c>
      <c r="D95" s="4">
        <v>12345769</v>
      </c>
      <c r="E95" s="4">
        <v>1638</v>
      </c>
    </row>
    <row r="96" spans="1:5" ht="15" customHeight="1" x14ac:dyDescent="0.25">
      <c r="A96" s="40">
        <v>93</v>
      </c>
      <c r="B96" s="4" t="s">
        <v>101</v>
      </c>
      <c r="C96" s="4" t="s">
        <v>102</v>
      </c>
      <c r="D96" s="4">
        <v>12345770</v>
      </c>
      <c r="E96" s="4">
        <v>1645</v>
      </c>
    </row>
    <row r="97" spans="1:5" ht="15" customHeight="1" x14ac:dyDescent="0.25">
      <c r="A97" s="40">
        <v>94</v>
      </c>
      <c r="B97" s="4" t="s">
        <v>101</v>
      </c>
      <c r="C97" s="4" t="s">
        <v>102</v>
      </c>
      <c r="D97" s="4">
        <v>12345771</v>
      </c>
      <c r="E97" s="4">
        <v>1652</v>
      </c>
    </row>
    <row r="98" spans="1:5" ht="15" customHeight="1" x14ac:dyDescent="0.25">
      <c r="A98" s="40">
        <v>95</v>
      </c>
      <c r="B98" s="4" t="s">
        <v>101</v>
      </c>
      <c r="C98" s="4" t="s">
        <v>102</v>
      </c>
      <c r="D98" s="4">
        <v>12345772</v>
      </c>
      <c r="E98" s="4">
        <v>1659</v>
      </c>
    </row>
    <row r="99" spans="1:5" ht="15" customHeight="1" x14ac:dyDescent="0.25">
      <c r="A99" s="40">
        <v>96</v>
      </c>
      <c r="B99" s="4" t="s">
        <v>101</v>
      </c>
      <c r="C99" s="4" t="s">
        <v>102</v>
      </c>
      <c r="D99" s="4">
        <v>12345773</v>
      </c>
      <c r="E99" s="4">
        <v>1666</v>
      </c>
    </row>
    <row r="100" spans="1:5" ht="15" customHeight="1" x14ac:dyDescent="0.25">
      <c r="A100" s="40">
        <v>97</v>
      </c>
      <c r="B100" s="4" t="s">
        <v>101</v>
      </c>
      <c r="C100" s="4" t="s">
        <v>102</v>
      </c>
      <c r="D100" s="4">
        <v>12345774</v>
      </c>
      <c r="E100" s="4">
        <v>1673</v>
      </c>
    </row>
    <row r="101" spans="1:5" ht="15" customHeight="1" x14ac:dyDescent="0.25">
      <c r="A101" s="40">
        <v>98</v>
      </c>
      <c r="B101" s="4" t="s">
        <v>101</v>
      </c>
      <c r="C101" s="4" t="s">
        <v>102</v>
      </c>
      <c r="D101" s="4">
        <v>12345775</v>
      </c>
      <c r="E101" s="4">
        <v>1680</v>
      </c>
    </row>
    <row r="102" spans="1:5" ht="15" customHeight="1" x14ac:dyDescent="0.25">
      <c r="A102" s="40">
        <v>99</v>
      </c>
      <c r="B102" s="4" t="s">
        <v>101</v>
      </c>
      <c r="C102" s="4" t="s">
        <v>102</v>
      </c>
      <c r="D102" s="4">
        <v>12345776</v>
      </c>
      <c r="E102" s="4">
        <v>1687</v>
      </c>
    </row>
    <row r="103" spans="1:5" ht="15" customHeight="1" x14ac:dyDescent="0.25">
      <c r="A103" s="40">
        <v>100</v>
      </c>
      <c r="B103" s="4" t="s">
        <v>101</v>
      </c>
      <c r="C103" s="4" t="s">
        <v>102</v>
      </c>
      <c r="D103" s="4">
        <v>12345777</v>
      </c>
      <c r="E103" s="4">
        <v>1694</v>
      </c>
    </row>
    <row r="104" spans="1:5" ht="15" customHeight="1" x14ac:dyDescent="0.25">
      <c r="A104" s="40">
        <v>101</v>
      </c>
      <c r="B104" s="4" t="s">
        <v>101</v>
      </c>
      <c r="C104" s="4" t="s">
        <v>102</v>
      </c>
      <c r="D104" s="4">
        <v>12345778</v>
      </c>
      <c r="E104" s="4">
        <v>1701</v>
      </c>
    </row>
    <row r="105" spans="1:5" ht="15" customHeight="1" x14ac:dyDescent="0.25">
      <c r="A105" s="40">
        <v>102</v>
      </c>
      <c r="B105" s="4" t="s">
        <v>101</v>
      </c>
      <c r="C105" s="4" t="s">
        <v>102</v>
      </c>
      <c r="D105" s="4">
        <v>12345779</v>
      </c>
      <c r="E105" s="4">
        <v>1708</v>
      </c>
    </row>
    <row r="106" spans="1:5" ht="15" customHeight="1" x14ac:dyDescent="0.25">
      <c r="A106" s="40">
        <v>103</v>
      </c>
      <c r="B106" s="4" t="s">
        <v>101</v>
      </c>
      <c r="C106" s="4" t="s">
        <v>102</v>
      </c>
      <c r="D106" s="4">
        <v>12345780</v>
      </c>
      <c r="E106" s="4">
        <v>1715</v>
      </c>
    </row>
    <row r="107" spans="1:5" x14ac:dyDescent="0.25">
      <c r="A107" s="40">
        <v>104</v>
      </c>
      <c r="B107" s="4" t="s">
        <v>101</v>
      </c>
      <c r="C107" s="4" t="s">
        <v>102</v>
      </c>
      <c r="D107" s="4">
        <v>12345781</v>
      </c>
      <c r="E107" s="4">
        <v>1722</v>
      </c>
    </row>
    <row r="108" spans="1:5" x14ac:dyDescent="0.25">
      <c r="A108" s="40">
        <v>105</v>
      </c>
      <c r="B108" s="4" t="s">
        <v>101</v>
      </c>
      <c r="C108" s="4" t="s">
        <v>102</v>
      </c>
      <c r="D108" s="4">
        <v>12345782</v>
      </c>
      <c r="E108" s="4">
        <v>1729</v>
      </c>
    </row>
    <row r="109" spans="1:5" x14ac:dyDescent="0.25">
      <c r="A109" s="40">
        <v>106</v>
      </c>
      <c r="B109" s="4" t="s">
        <v>101</v>
      </c>
      <c r="C109" s="4" t="s">
        <v>102</v>
      </c>
      <c r="D109" s="4">
        <v>12345783</v>
      </c>
      <c r="E109" s="4">
        <v>1736</v>
      </c>
    </row>
    <row r="110" spans="1:5" x14ac:dyDescent="0.25">
      <c r="A110" s="40">
        <v>107</v>
      </c>
      <c r="B110" s="4" t="s">
        <v>101</v>
      </c>
      <c r="C110" s="4" t="s">
        <v>102</v>
      </c>
      <c r="D110" s="4">
        <v>12345784</v>
      </c>
      <c r="E110" s="4">
        <v>1743</v>
      </c>
    </row>
    <row r="111" spans="1:5" x14ac:dyDescent="0.25">
      <c r="A111" s="40">
        <v>108</v>
      </c>
      <c r="B111" s="4" t="s">
        <v>101</v>
      </c>
      <c r="C111" s="4" t="s">
        <v>102</v>
      </c>
      <c r="D111" s="4">
        <v>12345785</v>
      </c>
      <c r="E111" s="4">
        <v>1750</v>
      </c>
    </row>
    <row r="112" spans="1:5" x14ac:dyDescent="0.25">
      <c r="A112" s="40">
        <v>109</v>
      </c>
      <c r="B112" s="4" t="s">
        <v>101</v>
      </c>
      <c r="C112" s="4" t="s">
        <v>102</v>
      </c>
      <c r="D112" s="4">
        <v>12345786</v>
      </c>
      <c r="E112" s="4">
        <v>1757</v>
      </c>
    </row>
    <row r="113" spans="1:5" x14ac:dyDescent="0.25">
      <c r="A113" s="40">
        <v>110</v>
      </c>
      <c r="B113" s="4" t="s">
        <v>101</v>
      </c>
      <c r="C113" s="4" t="s">
        <v>102</v>
      </c>
      <c r="D113" s="4">
        <v>12345787</v>
      </c>
      <c r="E113" s="4">
        <v>1764</v>
      </c>
    </row>
    <row r="114" spans="1:5" x14ac:dyDescent="0.25">
      <c r="A114" s="40">
        <v>111</v>
      </c>
      <c r="B114" s="4" t="s">
        <v>101</v>
      </c>
      <c r="C114" s="4" t="s">
        <v>102</v>
      </c>
      <c r="D114" s="4">
        <v>12345788</v>
      </c>
      <c r="E114" s="4">
        <v>1771</v>
      </c>
    </row>
    <row r="115" spans="1:5" x14ac:dyDescent="0.25">
      <c r="A115" s="40">
        <v>112</v>
      </c>
      <c r="B115" s="4" t="s">
        <v>101</v>
      </c>
      <c r="C115" s="4" t="s">
        <v>102</v>
      </c>
      <c r="D115" s="4">
        <v>12345789</v>
      </c>
      <c r="E115" s="4">
        <v>1778</v>
      </c>
    </row>
    <row r="116" spans="1:5" x14ac:dyDescent="0.25">
      <c r="A116" s="40">
        <v>113</v>
      </c>
      <c r="B116" s="4" t="s">
        <v>101</v>
      </c>
      <c r="C116" s="4" t="s">
        <v>102</v>
      </c>
      <c r="D116" s="4">
        <v>12345790</v>
      </c>
      <c r="E116" s="4">
        <v>1785</v>
      </c>
    </row>
    <row r="117" spans="1:5" x14ac:dyDescent="0.25">
      <c r="A117" s="40">
        <v>114</v>
      </c>
      <c r="B117" s="4" t="s">
        <v>101</v>
      </c>
      <c r="C117" s="4" t="s">
        <v>102</v>
      </c>
      <c r="D117" s="4">
        <v>12345791</v>
      </c>
      <c r="E117" s="4">
        <v>1792</v>
      </c>
    </row>
    <row r="118" spans="1:5" x14ac:dyDescent="0.25">
      <c r="A118" s="40">
        <v>115</v>
      </c>
      <c r="B118" s="4" t="s">
        <v>101</v>
      </c>
      <c r="C118" s="4" t="s">
        <v>102</v>
      </c>
      <c r="D118" s="4">
        <v>12345792</v>
      </c>
      <c r="E118" s="4">
        <v>1799</v>
      </c>
    </row>
    <row r="119" spans="1:5" ht="15" customHeight="1" x14ac:dyDescent="0.25">
      <c r="A119" s="40">
        <v>116</v>
      </c>
      <c r="B119" s="4" t="s">
        <v>101</v>
      </c>
      <c r="C119" s="4" t="s">
        <v>102</v>
      </c>
      <c r="D119" s="4">
        <v>12345793</v>
      </c>
      <c r="E119" s="4">
        <v>1806</v>
      </c>
    </row>
    <row r="120" spans="1:5" x14ac:dyDescent="0.25">
      <c r="A120" s="40">
        <v>117</v>
      </c>
      <c r="B120" s="4" t="s">
        <v>101</v>
      </c>
      <c r="C120" s="4" t="s">
        <v>102</v>
      </c>
      <c r="D120" s="4">
        <v>12345794</v>
      </c>
      <c r="E120" s="4">
        <v>1813</v>
      </c>
    </row>
    <row r="121" spans="1:5" x14ac:dyDescent="0.25">
      <c r="A121" s="40">
        <v>118</v>
      </c>
      <c r="B121" s="4" t="s">
        <v>101</v>
      </c>
      <c r="C121" s="4" t="s">
        <v>102</v>
      </c>
      <c r="D121" s="4">
        <v>12345795</v>
      </c>
      <c r="E121" s="4">
        <v>1820</v>
      </c>
    </row>
    <row r="122" spans="1:5" x14ac:dyDescent="0.25">
      <c r="A122" s="40">
        <v>119</v>
      </c>
      <c r="B122" s="4" t="s">
        <v>101</v>
      </c>
      <c r="C122" s="4" t="s">
        <v>102</v>
      </c>
      <c r="D122" s="4">
        <v>12345796</v>
      </c>
      <c r="E122" s="4">
        <v>1827</v>
      </c>
    </row>
    <row r="123" spans="1:5" x14ac:dyDescent="0.25">
      <c r="A123" s="40">
        <v>120</v>
      </c>
      <c r="B123" s="4" t="s">
        <v>101</v>
      </c>
      <c r="C123" s="4" t="s">
        <v>102</v>
      </c>
      <c r="D123" s="4">
        <v>12345797</v>
      </c>
      <c r="E123" s="4">
        <v>1834</v>
      </c>
    </row>
    <row r="124" spans="1:5" x14ac:dyDescent="0.25">
      <c r="A124" s="40">
        <v>121</v>
      </c>
      <c r="B124" s="4" t="s">
        <v>101</v>
      </c>
      <c r="C124" s="4" t="s">
        <v>102</v>
      </c>
      <c r="D124" s="4">
        <v>12345798</v>
      </c>
      <c r="E124" s="4">
        <v>1841</v>
      </c>
    </row>
    <row r="125" spans="1:5" x14ac:dyDescent="0.25">
      <c r="A125" s="40">
        <v>122</v>
      </c>
      <c r="B125" s="4" t="s">
        <v>101</v>
      </c>
      <c r="C125" s="4" t="s">
        <v>102</v>
      </c>
      <c r="D125" s="4">
        <v>12345799</v>
      </c>
      <c r="E125" s="4">
        <v>1848</v>
      </c>
    </row>
    <row r="126" spans="1:5" x14ac:dyDescent="0.25">
      <c r="A126" s="40">
        <v>123</v>
      </c>
      <c r="B126" s="4" t="s">
        <v>101</v>
      </c>
      <c r="C126" s="4" t="s">
        <v>102</v>
      </c>
      <c r="D126" s="4">
        <v>12345800</v>
      </c>
      <c r="E126" s="4">
        <v>1855</v>
      </c>
    </row>
    <row r="127" spans="1:5" x14ac:dyDescent="0.25">
      <c r="A127" s="40">
        <v>124</v>
      </c>
      <c r="B127" s="4" t="s">
        <v>101</v>
      </c>
      <c r="C127" s="4" t="s">
        <v>102</v>
      </c>
      <c r="D127" s="4">
        <v>12345801</v>
      </c>
      <c r="E127" s="4">
        <v>1862</v>
      </c>
    </row>
    <row r="128" spans="1:5" x14ac:dyDescent="0.25">
      <c r="A128" s="40">
        <v>125</v>
      </c>
      <c r="B128" s="4" t="s">
        <v>101</v>
      </c>
      <c r="C128" s="4" t="s">
        <v>102</v>
      </c>
      <c r="D128" s="4">
        <v>12345802</v>
      </c>
      <c r="E128" s="4">
        <v>1869</v>
      </c>
    </row>
    <row r="129" spans="1:5" x14ac:dyDescent="0.25">
      <c r="A129" s="40">
        <v>126</v>
      </c>
      <c r="B129" s="4" t="s">
        <v>101</v>
      </c>
      <c r="C129" s="4" t="s">
        <v>102</v>
      </c>
      <c r="D129" s="4">
        <v>12345803</v>
      </c>
      <c r="E129" s="4">
        <v>1876</v>
      </c>
    </row>
    <row r="130" spans="1:5" x14ac:dyDescent="0.25">
      <c r="A130" s="40">
        <v>127</v>
      </c>
      <c r="B130" s="4" t="s">
        <v>101</v>
      </c>
      <c r="C130" s="4" t="s">
        <v>102</v>
      </c>
      <c r="D130" s="4">
        <v>12345804</v>
      </c>
      <c r="E130" s="4">
        <v>1883</v>
      </c>
    </row>
    <row r="131" spans="1:5" x14ac:dyDescent="0.25">
      <c r="A131" s="40">
        <v>128</v>
      </c>
      <c r="B131" s="4" t="s">
        <v>101</v>
      </c>
      <c r="C131" s="4" t="s">
        <v>102</v>
      </c>
      <c r="D131" s="4">
        <v>12345805</v>
      </c>
      <c r="E131" s="4">
        <v>1890</v>
      </c>
    </row>
    <row r="132" spans="1:5" x14ac:dyDescent="0.25">
      <c r="A132" s="40">
        <v>129</v>
      </c>
      <c r="B132" s="4" t="s">
        <v>101</v>
      </c>
      <c r="C132" s="4" t="s">
        <v>102</v>
      </c>
      <c r="D132" s="4">
        <v>12345806</v>
      </c>
      <c r="E132" s="4">
        <v>1897</v>
      </c>
    </row>
    <row r="133" spans="1:5" x14ac:dyDescent="0.25">
      <c r="A133" s="40">
        <v>130</v>
      </c>
      <c r="B133" s="4" t="s">
        <v>101</v>
      </c>
      <c r="C133" s="4" t="s">
        <v>102</v>
      </c>
      <c r="D133" s="4">
        <v>12345807</v>
      </c>
      <c r="E133" s="4">
        <v>1904</v>
      </c>
    </row>
    <row r="134" spans="1:5" x14ac:dyDescent="0.25">
      <c r="A134" s="40">
        <v>131</v>
      </c>
      <c r="B134" s="4" t="s">
        <v>101</v>
      </c>
      <c r="C134" s="4" t="s">
        <v>102</v>
      </c>
      <c r="D134" s="4">
        <v>12345808</v>
      </c>
      <c r="E134" s="4">
        <v>1911</v>
      </c>
    </row>
    <row r="135" spans="1:5" x14ac:dyDescent="0.25">
      <c r="A135" s="40">
        <v>132</v>
      </c>
      <c r="B135" s="4" t="s">
        <v>101</v>
      </c>
      <c r="C135" s="4" t="s">
        <v>102</v>
      </c>
      <c r="D135" s="4">
        <v>12345809</v>
      </c>
      <c r="E135" s="4">
        <v>1918</v>
      </c>
    </row>
    <row r="136" spans="1:5" x14ac:dyDescent="0.25">
      <c r="A136" s="40">
        <v>133</v>
      </c>
      <c r="B136" s="4" t="s">
        <v>101</v>
      </c>
      <c r="C136" s="4" t="s">
        <v>102</v>
      </c>
      <c r="D136" s="4">
        <v>12345810</v>
      </c>
      <c r="E136" s="4">
        <v>1925</v>
      </c>
    </row>
    <row r="137" spans="1:5" x14ac:dyDescent="0.25">
      <c r="A137" s="40">
        <v>134</v>
      </c>
      <c r="B137" s="4" t="s">
        <v>101</v>
      </c>
      <c r="C137" s="4" t="s">
        <v>102</v>
      </c>
      <c r="D137" s="4">
        <v>12345811</v>
      </c>
      <c r="E137" s="4">
        <v>1932</v>
      </c>
    </row>
    <row r="138" spans="1:5" x14ac:dyDescent="0.25">
      <c r="A138" s="40">
        <v>135</v>
      </c>
      <c r="B138" s="4" t="s">
        <v>101</v>
      </c>
      <c r="C138" s="4" t="s">
        <v>102</v>
      </c>
      <c r="D138" s="4">
        <v>12345812</v>
      </c>
      <c r="E138" s="4">
        <v>1939</v>
      </c>
    </row>
    <row r="139" spans="1:5" x14ac:dyDescent="0.25">
      <c r="A139" s="40">
        <v>136</v>
      </c>
      <c r="B139" s="4" t="s">
        <v>101</v>
      </c>
      <c r="C139" s="4" t="s">
        <v>102</v>
      </c>
      <c r="D139" s="4">
        <v>12345813</v>
      </c>
      <c r="E139" s="4">
        <v>1946</v>
      </c>
    </row>
    <row r="140" spans="1:5" x14ac:dyDescent="0.25">
      <c r="A140" s="40">
        <v>137</v>
      </c>
      <c r="B140" s="4" t="s">
        <v>101</v>
      </c>
      <c r="C140" s="4" t="s">
        <v>102</v>
      </c>
      <c r="D140" s="4">
        <v>12345814</v>
      </c>
      <c r="E140" s="4">
        <v>1953</v>
      </c>
    </row>
    <row r="141" spans="1:5" x14ac:dyDescent="0.25">
      <c r="A141" s="40">
        <v>138</v>
      </c>
      <c r="B141" s="4" t="s">
        <v>101</v>
      </c>
      <c r="C141" s="4" t="s">
        <v>102</v>
      </c>
      <c r="D141" s="4">
        <v>12345815</v>
      </c>
      <c r="E141" s="4">
        <v>1960</v>
      </c>
    </row>
    <row r="142" spans="1:5" x14ac:dyDescent="0.25">
      <c r="A142" s="40">
        <v>139</v>
      </c>
      <c r="B142" s="4" t="s">
        <v>101</v>
      </c>
      <c r="C142" s="4" t="s">
        <v>102</v>
      </c>
      <c r="D142" s="4">
        <v>12345816</v>
      </c>
      <c r="E142" s="4">
        <v>1967</v>
      </c>
    </row>
    <row r="143" spans="1:5" x14ac:dyDescent="0.25">
      <c r="A143" s="40">
        <v>140</v>
      </c>
      <c r="B143" s="4" t="s">
        <v>101</v>
      </c>
      <c r="C143" s="4" t="s">
        <v>102</v>
      </c>
      <c r="D143" s="4">
        <v>12345817</v>
      </c>
      <c r="E143" s="4">
        <v>1974</v>
      </c>
    </row>
    <row r="144" spans="1:5" x14ac:dyDescent="0.25">
      <c r="A144" s="40">
        <v>141</v>
      </c>
      <c r="B144" s="4" t="s">
        <v>101</v>
      </c>
      <c r="C144" s="4" t="s">
        <v>102</v>
      </c>
      <c r="D144" s="4">
        <v>12345818</v>
      </c>
      <c r="E144" s="4">
        <v>1981</v>
      </c>
    </row>
    <row r="145" spans="1:5" x14ac:dyDescent="0.25">
      <c r="A145" s="40">
        <v>142</v>
      </c>
      <c r="B145" s="4" t="s">
        <v>101</v>
      </c>
      <c r="C145" s="4" t="s">
        <v>102</v>
      </c>
      <c r="D145" s="4">
        <v>12345819</v>
      </c>
      <c r="E145" s="4">
        <v>1988</v>
      </c>
    </row>
    <row r="146" spans="1:5" x14ac:dyDescent="0.25">
      <c r="A146" s="40">
        <v>143</v>
      </c>
      <c r="B146" s="4" t="s">
        <v>101</v>
      </c>
      <c r="C146" s="4" t="s">
        <v>102</v>
      </c>
      <c r="D146" s="4">
        <v>12345820</v>
      </c>
      <c r="E146" s="4">
        <v>1995</v>
      </c>
    </row>
    <row r="147" spans="1:5" x14ac:dyDescent="0.25">
      <c r="A147" s="40">
        <v>144</v>
      </c>
      <c r="B147" s="4" t="s">
        <v>101</v>
      </c>
      <c r="C147" s="4" t="s">
        <v>102</v>
      </c>
      <c r="D147" s="4">
        <v>12345821</v>
      </c>
      <c r="E147" s="4">
        <v>2002</v>
      </c>
    </row>
    <row r="148" spans="1:5" x14ac:dyDescent="0.25">
      <c r="A148" s="40">
        <v>145</v>
      </c>
      <c r="B148" s="4" t="s">
        <v>101</v>
      </c>
      <c r="C148" s="4" t="s">
        <v>102</v>
      </c>
      <c r="D148" s="4">
        <v>12345822</v>
      </c>
      <c r="E148" s="4">
        <v>2009</v>
      </c>
    </row>
    <row r="149" spans="1:5" x14ac:dyDescent="0.25">
      <c r="A149" s="40">
        <v>146</v>
      </c>
      <c r="B149" s="4" t="s">
        <v>101</v>
      </c>
      <c r="C149" s="4" t="s">
        <v>102</v>
      </c>
      <c r="D149" s="4">
        <v>12345823</v>
      </c>
      <c r="E149" s="4">
        <v>2016</v>
      </c>
    </row>
    <row r="150" spans="1:5" x14ac:dyDescent="0.25">
      <c r="A150" s="40">
        <v>147</v>
      </c>
      <c r="B150" s="4" t="s">
        <v>101</v>
      </c>
      <c r="C150" s="4" t="s">
        <v>102</v>
      </c>
      <c r="D150" s="4">
        <v>12345824</v>
      </c>
      <c r="E150" s="4">
        <v>2023</v>
      </c>
    </row>
    <row r="151" spans="1:5" x14ac:dyDescent="0.25">
      <c r="A151" s="40">
        <v>148</v>
      </c>
      <c r="B151" s="4" t="s">
        <v>101</v>
      </c>
      <c r="C151" s="4" t="s">
        <v>102</v>
      </c>
      <c r="D151" s="4">
        <v>12345825</v>
      </c>
      <c r="E151" s="4">
        <v>2030</v>
      </c>
    </row>
    <row r="152" spans="1:5" x14ac:dyDescent="0.25">
      <c r="A152" s="40">
        <v>149</v>
      </c>
      <c r="B152" s="4" t="s">
        <v>101</v>
      </c>
      <c r="C152" s="4" t="s">
        <v>102</v>
      </c>
      <c r="D152" s="4">
        <v>12345826</v>
      </c>
      <c r="E152" s="4">
        <v>2037</v>
      </c>
    </row>
    <row r="153" spans="1:5" x14ac:dyDescent="0.25">
      <c r="A153" s="40">
        <v>150</v>
      </c>
      <c r="B153" s="4" t="s">
        <v>101</v>
      </c>
      <c r="C153" s="4" t="s">
        <v>102</v>
      </c>
      <c r="D153" s="4">
        <v>12345827</v>
      </c>
      <c r="E153" s="4">
        <v>2044</v>
      </c>
    </row>
    <row r="154" spans="1:5" x14ac:dyDescent="0.25">
      <c r="A154" s="40">
        <v>151</v>
      </c>
      <c r="B154" s="4" t="s">
        <v>101</v>
      </c>
      <c r="C154" s="4" t="s">
        <v>102</v>
      </c>
      <c r="D154" s="4">
        <v>12345828</v>
      </c>
      <c r="E154" s="4">
        <v>2051</v>
      </c>
    </row>
    <row r="155" spans="1:5" x14ac:dyDescent="0.25">
      <c r="A155" s="40">
        <v>152</v>
      </c>
      <c r="B155" s="4" t="s">
        <v>101</v>
      </c>
      <c r="C155" s="4" t="s">
        <v>102</v>
      </c>
      <c r="D155" s="4">
        <v>12345829</v>
      </c>
      <c r="E155" s="4">
        <v>2058</v>
      </c>
    </row>
    <row r="156" spans="1:5" x14ac:dyDescent="0.25">
      <c r="A156" s="40">
        <v>153</v>
      </c>
      <c r="B156" s="4" t="s">
        <v>101</v>
      </c>
      <c r="C156" s="4" t="s">
        <v>102</v>
      </c>
      <c r="D156" s="4">
        <v>12345830</v>
      </c>
      <c r="E156" s="4">
        <v>2065</v>
      </c>
    </row>
    <row r="157" spans="1:5" x14ac:dyDescent="0.25">
      <c r="A157" s="40">
        <v>154</v>
      </c>
      <c r="B157" s="4" t="s">
        <v>101</v>
      </c>
      <c r="C157" s="4" t="s">
        <v>102</v>
      </c>
      <c r="D157" s="4">
        <v>12345831</v>
      </c>
      <c r="E157" s="4">
        <v>2072</v>
      </c>
    </row>
    <row r="158" spans="1:5" x14ac:dyDescent="0.25">
      <c r="A158" s="40">
        <v>155</v>
      </c>
      <c r="B158" s="4" t="s">
        <v>101</v>
      </c>
      <c r="C158" s="4" t="s">
        <v>102</v>
      </c>
      <c r="D158" s="4">
        <v>12345832</v>
      </c>
      <c r="E158" s="4">
        <v>2079</v>
      </c>
    </row>
    <row r="159" spans="1:5" x14ac:dyDescent="0.25">
      <c r="A159" s="40">
        <v>156</v>
      </c>
      <c r="B159" s="4" t="s">
        <v>101</v>
      </c>
      <c r="C159" s="4" t="s">
        <v>102</v>
      </c>
      <c r="D159" s="4">
        <v>12345833</v>
      </c>
      <c r="E159" s="4">
        <v>2086</v>
      </c>
    </row>
    <row r="160" spans="1:5" x14ac:dyDescent="0.25">
      <c r="A160" s="40">
        <v>157</v>
      </c>
      <c r="B160" s="4" t="s">
        <v>101</v>
      </c>
      <c r="C160" s="4" t="s">
        <v>102</v>
      </c>
      <c r="D160" s="4">
        <v>12345834</v>
      </c>
      <c r="E160" s="4">
        <v>2093</v>
      </c>
    </row>
    <row r="161" spans="1:5" x14ac:dyDescent="0.25">
      <c r="A161" s="40">
        <v>158</v>
      </c>
      <c r="B161" s="4" t="s">
        <v>101</v>
      </c>
      <c r="C161" s="4" t="s">
        <v>102</v>
      </c>
      <c r="D161" s="4">
        <v>12345835</v>
      </c>
      <c r="E161" s="4">
        <v>2100</v>
      </c>
    </row>
    <row r="162" spans="1:5" x14ac:dyDescent="0.25">
      <c r="A162" s="40">
        <v>159</v>
      </c>
      <c r="B162" s="4" t="s">
        <v>101</v>
      </c>
      <c r="C162" s="4" t="s">
        <v>102</v>
      </c>
      <c r="D162" s="4">
        <v>12345836</v>
      </c>
      <c r="E162" s="4">
        <v>2107</v>
      </c>
    </row>
    <row r="163" spans="1:5" x14ac:dyDescent="0.25">
      <c r="A163" s="40">
        <v>160</v>
      </c>
      <c r="B163" s="4" t="s">
        <v>101</v>
      </c>
      <c r="C163" s="4" t="s">
        <v>102</v>
      </c>
      <c r="D163" s="4">
        <v>12345837</v>
      </c>
      <c r="E163" s="4">
        <v>2114</v>
      </c>
    </row>
    <row r="164" spans="1:5" x14ac:dyDescent="0.25">
      <c r="A164" s="40">
        <v>161</v>
      </c>
      <c r="B164" s="4" t="s">
        <v>101</v>
      </c>
      <c r="C164" s="4" t="s">
        <v>102</v>
      </c>
      <c r="D164" s="4">
        <v>12345838</v>
      </c>
      <c r="E164" s="4">
        <v>2121</v>
      </c>
    </row>
    <row r="165" spans="1:5" x14ac:dyDescent="0.25">
      <c r="A165" s="40">
        <v>162</v>
      </c>
      <c r="B165" s="4" t="s">
        <v>101</v>
      </c>
      <c r="C165" s="4" t="s">
        <v>102</v>
      </c>
      <c r="D165" s="4">
        <v>12345839</v>
      </c>
      <c r="E165" s="4">
        <v>2128</v>
      </c>
    </row>
    <row r="166" spans="1:5" x14ac:dyDescent="0.25">
      <c r="A166" s="40">
        <v>163</v>
      </c>
      <c r="B166" s="4" t="s">
        <v>101</v>
      </c>
      <c r="C166" s="4" t="s">
        <v>102</v>
      </c>
      <c r="D166" s="4">
        <v>12345840</v>
      </c>
      <c r="E166" s="4">
        <v>2135</v>
      </c>
    </row>
    <row r="167" spans="1:5" x14ac:dyDescent="0.25">
      <c r="A167" s="40">
        <v>164</v>
      </c>
      <c r="B167" s="4" t="s">
        <v>101</v>
      </c>
      <c r="C167" s="4" t="s">
        <v>102</v>
      </c>
      <c r="D167" s="4">
        <v>12345841</v>
      </c>
      <c r="E167" s="4">
        <v>2142</v>
      </c>
    </row>
    <row r="168" spans="1:5" x14ac:dyDescent="0.25">
      <c r="A168" s="40">
        <v>165</v>
      </c>
      <c r="B168" s="4" t="s">
        <v>101</v>
      </c>
      <c r="C168" s="4" t="s">
        <v>102</v>
      </c>
      <c r="D168" s="4">
        <v>12345842</v>
      </c>
      <c r="E168" s="4">
        <v>2149</v>
      </c>
    </row>
    <row r="169" spans="1:5" x14ac:dyDescent="0.25">
      <c r="A169" s="40">
        <v>166</v>
      </c>
      <c r="B169" s="4" t="s">
        <v>101</v>
      </c>
      <c r="C169" s="4" t="s">
        <v>102</v>
      </c>
      <c r="D169" s="4">
        <v>12345843</v>
      </c>
      <c r="E169" s="4">
        <v>2156</v>
      </c>
    </row>
    <row r="170" spans="1:5" x14ac:dyDescent="0.25">
      <c r="A170" s="40">
        <v>167</v>
      </c>
      <c r="B170" s="4" t="s">
        <v>101</v>
      </c>
      <c r="C170" s="4" t="s">
        <v>102</v>
      </c>
      <c r="D170" s="4">
        <v>12345844</v>
      </c>
      <c r="E170" s="4">
        <v>2163</v>
      </c>
    </row>
    <row r="171" spans="1:5" x14ac:dyDescent="0.25">
      <c r="A171" s="40">
        <v>168</v>
      </c>
      <c r="B171" s="4" t="s">
        <v>101</v>
      </c>
      <c r="C171" s="4" t="s">
        <v>102</v>
      </c>
      <c r="D171" s="4">
        <v>12345845</v>
      </c>
      <c r="E171" s="4">
        <v>2170</v>
      </c>
    </row>
    <row r="172" spans="1:5" x14ac:dyDescent="0.25">
      <c r="A172" s="40">
        <v>169</v>
      </c>
      <c r="B172" s="4" t="s">
        <v>101</v>
      </c>
      <c r="C172" s="4" t="s">
        <v>102</v>
      </c>
      <c r="D172" s="4">
        <v>12345846</v>
      </c>
      <c r="E172" s="4">
        <v>2177</v>
      </c>
    </row>
    <row r="173" spans="1:5" x14ac:dyDescent="0.25">
      <c r="A173" s="40">
        <v>170</v>
      </c>
      <c r="B173" s="4" t="s">
        <v>101</v>
      </c>
      <c r="C173" s="4" t="s">
        <v>102</v>
      </c>
      <c r="D173" s="4">
        <v>12345847</v>
      </c>
      <c r="E173" s="4">
        <v>2184</v>
      </c>
    </row>
    <row r="174" spans="1:5" x14ac:dyDescent="0.25">
      <c r="A174" s="40">
        <v>171</v>
      </c>
      <c r="B174" s="4" t="s">
        <v>101</v>
      </c>
      <c r="C174" s="4" t="s">
        <v>102</v>
      </c>
      <c r="D174" s="4">
        <v>12345848</v>
      </c>
      <c r="E174" s="4">
        <v>2191</v>
      </c>
    </row>
    <row r="175" spans="1:5" x14ac:dyDescent="0.25">
      <c r="A175" s="40">
        <v>172</v>
      </c>
      <c r="B175" s="4" t="s">
        <v>101</v>
      </c>
      <c r="C175" s="4" t="s">
        <v>102</v>
      </c>
      <c r="D175" s="4">
        <v>12345849</v>
      </c>
      <c r="E175" s="4">
        <v>2198</v>
      </c>
    </row>
    <row r="176" spans="1:5" x14ac:dyDescent="0.25">
      <c r="A176" s="40">
        <v>173</v>
      </c>
      <c r="B176" s="4" t="s">
        <v>101</v>
      </c>
      <c r="C176" s="4" t="s">
        <v>102</v>
      </c>
      <c r="D176" s="4">
        <v>12345850</v>
      </c>
      <c r="E176" s="4">
        <v>2205</v>
      </c>
    </row>
    <row r="177" spans="1:5" x14ac:dyDescent="0.25">
      <c r="A177" s="40">
        <v>174</v>
      </c>
      <c r="B177" s="4" t="s">
        <v>101</v>
      </c>
      <c r="C177" s="4" t="s">
        <v>102</v>
      </c>
      <c r="D177" s="4">
        <v>12345851</v>
      </c>
      <c r="E177" s="4">
        <v>2212</v>
      </c>
    </row>
    <row r="178" spans="1:5" x14ac:dyDescent="0.25">
      <c r="A178" s="40">
        <v>175</v>
      </c>
      <c r="B178" s="4" t="s">
        <v>101</v>
      </c>
      <c r="C178" s="4" t="s">
        <v>102</v>
      </c>
      <c r="D178" s="4">
        <v>12345852</v>
      </c>
      <c r="E178" s="4">
        <v>2219</v>
      </c>
    </row>
    <row r="179" spans="1:5" x14ac:dyDescent="0.25">
      <c r="A179" s="40">
        <v>176</v>
      </c>
      <c r="B179" s="4" t="s">
        <v>101</v>
      </c>
      <c r="C179" s="4" t="s">
        <v>102</v>
      </c>
      <c r="D179" s="4">
        <v>12345853</v>
      </c>
      <c r="E179" s="4">
        <v>2226</v>
      </c>
    </row>
    <row r="180" spans="1:5" x14ac:dyDescent="0.25">
      <c r="A180" s="40">
        <v>177</v>
      </c>
      <c r="B180" s="4" t="s">
        <v>101</v>
      </c>
      <c r="C180" s="4" t="s">
        <v>102</v>
      </c>
      <c r="D180" s="4">
        <v>12345854</v>
      </c>
      <c r="E180" s="4">
        <v>2233</v>
      </c>
    </row>
    <row r="181" spans="1:5" x14ac:dyDescent="0.25">
      <c r="A181" s="40">
        <v>178</v>
      </c>
      <c r="B181" s="4" t="s">
        <v>101</v>
      </c>
      <c r="C181" s="4" t="s">
        <v>102</v>
      </c>
      <c r="D181" s="4">
        <v>12345855</v>
      </c>
      <c r="E181" s="4">
        <v>2240</v>
      </c>
    </row>
    <row r="182" spans="1:5" x14ac:dyDescent="0.25">
      <c r="A182" s="40">
        <v>179</v>
      </c>
      <c r="B182" s="4" t="s">
        <v>101</v>
      </c>
      <c r="C182" s="4" t="s">
        <v>102</v>
      </c>
      <c r="D182" s="4">
        <v>12345856</v>
      </c>
      <c r="E182" s="4">
        <v>2247</v>
      </c>
    </row>
    <row r="183" spans="1:5" x14ac:dyDescent="0.25">
      <c r="A183" s="40">
        <v>180</v>
      </c>
      <c r="B183" s="4" t="s">
        <v>101</v>
      </c>
      <c r="C183" s="4" t="s">
        <v>102</v>
      </c>
      <c r="D183" s="4">
        <v>12345857</v>
      </c>
      <c r="E183" s="4">
        <v>2254</v>
      </c>
    </row>
    <row r="184" spans="1:5" x14ac:dyDescent="0.25">
      <c r="A184" s="40">
        <v>181</v>
      </c>
      <c r="B184" s="4" t="s">
        <v>101</v>
      </c>
      <c r="C184" s="4" t="s">
        <v>102</v>
      </c>
      <c r="D184" s="4">
        <v>12345858</v>
      </c>
      <c r="E184" s="4">
        <v>2261</v>
      </c>
    </row>
    <row r="185" spans="1:5" x14ac:dyDescent="0.25">
      <c r="A185" s="40">
        <v>182</v>
      </c>
      <c r="B185" s="4" t="s">
        <v>101</v>
      </c>
      <c r="C185" s="4" t="s">
        <v>102</v>
      </c>
      <c r="D185" s="4">
        <v>12345859</v>
      </c>
      <c r="E185" s="4">
        <v>2268</v>
      </c>
    </row>
    <row r="186" spans="1:5" x14ac:dyDescent="0.25">
      <c r="A186" s="40">
        <v>183</v>
      </c>
      <c r="B186" s="4" t="s">
        <v>101</v>
      </c>
      <c r="C186" s="4" t="s">
        <v>102</v>
      </c>
      <c r="D186" s="4">
        <v>12345860</v>
      </c>
      <c r="E186" s="4">
        <v>2275</v>
      </c>
    </row>
    <row r="187" spans="1:5" x14ac:dyDescent="0.25">
      <c r="A187" s="40">
        <v>184</v>
      </c>
      <c r="B187" s="4" t="s">
        <v>101</v>
      </c>
      <c r="C187" s="4" t="s">
        <v>102</v>
      </c>
      <c r="D187" s="4">
        <v>12345861</v>
      </c>
      <c r="E187" s="4">
        <v>2282</v>
      </c>
    </row>
    <row r="188" spans="1:5" x14ac:dyDescent="0.25">
      <c r="A188" s="40">
        <v>185</v>
      </c>
      <c r="B188" s="4" t="s">
        <v>101</v>
      </c>
      <c r="C188" s="4" t="s">
        <v>102</v>
      </c>
      <c r="D188" s="4">
        <v>12345862</v>
      </c>
      <c r="E188" s="4">
        <v>2289</v>
      </c>
    </row>
    <row r="189" spans="1:5" x14ac:dyDescent="0.25">
      <c r="A189" s="40">
        <v>186</v>
      </c>
      <c r="B189" s="4" t="s">
        <v>101</v>
      </c>
      <c r="C189" s="4" t="s">
        <v>102</v>
      </c>
      <c r="D189" s="4">
        <v>12345863</v>
      </c>
      <c r="E189" s="4">
        <v>2296</v>
      </c>
    </row>
    <row r="190" spans="1:5" x14ac:dyDescent="0.25">
      <c r="A190" s="40">
        <v>187</v>
      </c>
      <c r="B190" s="4" t="s">
        <v>101</v>
      </c>
      <c r="C190" s="4" t="s">
        <v>102</v>
      </c>
      <c r="D190" s="4">
        <v>12345864</v>
      </c>
      <c r="E190" s="4">
        <v>2303</v>
      </c>
    </row>
    <row r="191" spans="1:5" x14ac:dyDescent="0.25">
      <c r="A191" s="40">
        <v>188</v>
      </c>
      <c r="B191" s="4" t="s">
        <v>101</v>
      </c>
      <c r="C191" s="4" t="s">
        <v>102</v>
      </c>
      <c r="D191" s="4">
        <v>12345865</v>
      </c>
      <c r="E191" s="4">
        <v>2310</v>
      </c>
    </row>
    <row r="192" spans="1:5" x14ac:dyDescent="0.25">
      <c r="A192" s="40">
        <v>189</v>
      </c>
      <c r="B192" s="4" t="s">
        <v>101</v>
      </c>
      <c r="C192" s="4" t="s">
        <v>102</v>
      </c>
      <c r="D192" s="4">
        <v>12345866</v>
      </c>
      <c r="E192" s="4">
        <v>2317</v>
      </c>
    </row>
    <row r="193" spans="1:5" x14ac:dyDescent="0.25">
      <c r="A193" s="40">
        <v>190</v>
      </c>
      <c r="B193" s="4" t="s">
        <v>101</v>
      </c>
      <c r="C193" s="4" t="s">
        <v>102</v>
      </c>
      <c r="D193" s="4">
        <v>12345867</v>
      </c>
      <c r="E193" s="4">
        <v>2324</v>
      </c>
    </row>
    <row r="194" spans="1:5" x14ac:dyDescent="0.25">
      <c r="A194" s="40">
        <v>191</v>
      </c>
      <c r="B194" s="4" t="s">
        <v>101</v>
      </c>
      <c r="C194" s="4" t="s">
        <v>102</v>
      </c>
      <c r="D194" s="4">
        <v>12345868</v>
      </c>
      <c r="E194" s="4">
        <v>2331</v>
      </c>
    </row>
    <row r="195" spans="1:5" x14ac:dyDescent="0.25">
      <c r="A195" s="40">
        <v>192</v>
      </c>
      <c r="B195" s="4" t="s">
        <v>101</v>
      </c>
      <c r="C195" s="4" t="s">
        <v>102</v>
      </c>
      <c r="D195" s="4">
        <v>12345869</v>
      </c>
      <c r="E195" s="4">
        <v>2338</v>
      </c>
    </row>
    <row r="196" spans="1:5" x14ac:dyDescent="0.25">
      <c r="A196" s="40">
        <v>193</v>
      </c>
      <c r="B196" s="4" t="s">
        <v>101</v>
      </c>
      <c r="C196" s="4" t="s">
        <v>102</v>
      </c>
      <c r="D196" s="4">
        <v>12345870</v>
      </c>
      <c r="E196" s="4">
        <v>2345</v>
      </c>
    </row>
    <row r="197" spans="1:5" x14ac:dyDescent="0.25">
      <c r="A197" s="40">
        <v>194</v>
      </c>
      <c r="B197" s="4" t="s">
        <v>101</v>
      </c>
      <c r="C197" s="4" t="s">
        <v>102</v>
      </c>
      <c r="D197" s="4">
        <v>12345871</v>
      </c>
      <c r="E197" s="4">
        <v>2352</v>
      </c>
    </row>
    <row r="198" spans="1:5" x14ac:dyDescent="0.25">
      <c r="A198" s="40">
        <v>195</v>
      </c>
      <c r="B198" s="4" t="s">
        <v>101</v>
      </c>
      <c r="C198" s="4" t="s">
        <v>102</v>
      </c>
      <c r="D198" s="4">
        <v>12345872</v>
      </c>
      <c r="E198" s="4">
        <v>2359</v>
      </c>
    </row>
    <row r="199" spans="1:5" x14ac:dyDescent="0.25">
      <c r="A199" s="40">
        <v>196</v>
      </c>
      <c r="B199" s="4" t="s">
        <v>101</v>
      </c>
      <c r="C199" s="4" t="s">
        <v>102</v>
      </c>
      <c r="D199" s="4">
        <v>12345873</v>
      </c>
      <c r="E199" s="4">
        <v>2366</v>
      </c>
    </row>
    <row r="200" spans="1:5" x14ac:dyDescent="0.25">
      <c r="A200" s="40">
        <v>197</v>
      </c>
      <c r="B200" s="4" t="s">
        <v>101</v>
      </c>
      <c r="C200" s="4" t="s">
        <v>102</v>
      </c>
      <c r="D200" s="4">
        <v>12345874</v>
      </c>
      <c r="E200" s="4">
        <v>2373</v>
      </c>
    </row>
    <row r="201" spans="1:5" x14ac:dyDescent="0.25">
      <c r="A201" s="40">
        <v>198</v>
      </c>
      <c r="B201" s="4" t="s">
        <v>101</v>
      </c>
      <c r="C201" s="4" t="s">
        <v>102</v>
      </c>
      <c r="D201" s="4">
        <v>12345875</v>
      </c>
      <c r="E201" s="4">
        <v>2380</v>
      </c>
    </row>
    <row r="202" spans="1:5" x14ac:dyDescent="0.25">
      <c r="A202" s="40">
        <v>199</v>
      </c>
      <c r="B202" s="4" t="s">
        <v>101</v>
      </c>
      <c r="C202" s="4" t="s">
        <v>102</v>
      </c>
      <c r="D202" s="4">
        <v>12345876</v>
      </c>
      <c r="E202" s="4">
        <v>2387</v>
      </c>
    </row>
    <row r="203" spans="1:5" x14ac:dyDescent="0.25">
      <c r="A203" s="40">
        <v>200</v>
      </c>
      <c r="B203" s="4" t="s">
        <v>101</v>
      </c>
      <c r="C203" s="4" t="s">
        <v>102</v>
      </c>
      <c r="D203" s="4">
        <v>12345877</v>
      </c>
      <c r="E203" s="4">
        <v>2394</v>
      </c>
    </row>
    <row r="204" spans="1:5" x14ac:dyDescent="0.25">
      <c r="A204" s="40">
        <v>201</v>
      </c>
      <c r="B204" s="4" t="s">
        <v>101</v>
      </c>
      <c r="C204" s="4" t="s">
        <v>102</v>
      </c>
      <c r="D204" s="4">
        <v>12345878</v>
      </c>
      <c r="E204" s="4">
        <v>2401</v>
      </c>
    </row>
    <row r="205" spans="1:5" x14ac:dyDescent="0.25">
      <c r="A205" s="40">
        <v>202</v>
      </c>
      <c r="B205" s="4" t="s">
        <v>101</v>
      </c>
      <c r="C205" s="4" t="s">
        <v>102</v>
      </c>
      <c r="D205" s="4">
        <v>12345879</v>
      </c>
      <c r="E205" s="4">
        <v>2408</v>
      </c>
    </row>
    <row r="206" spans="1:5" x14ac:dyDescent="0.25">
      <c r="A206" s="40">
        <v>203</v>
      </c>
      <c r="B206" s="4" t="s">
        <v>101</v>
      </c>
      <c r="C206" s="4" t="s">
        <v>102</v>
      </c>
      <c r="D206" s="4">
        <v>12345880</v>
      </c>
      <c r="E206" s="4">
        <v>2415</v>
      </c>
    </row>
    <row r="207" spans="1:5" x14ac:dyDescent="0.25">
      <c r="A207" s="40">
        <v>204</v>
      </c>
      <c r="B207" s="4" t="s">
        <v>101</v>
      </c>
      <c r="C207" s="4" t="s">
        <v>102</v>
      </c>
      <c r="D207" s="4">
        <v>12345881</v>
      </c>
      <c r="E207" s="4">
        <v>2422</v>
      </c>
    </row>
    <row r="208" spans="1:5" x14ac:dyDescent="0.25">
      <c r="A208" s="40">
        <v>205</v>
      </c>
      <c r="B208" s="4" t="s">
        <v>101</v>
      </c>
      <c r="C208" s="4" t="s">
        <v>102</v>
      </c>
      <c r="D208" s="4">
        <v>12345882</v>
      </c>
      <c r="E208" s="4">
        <v>2429</v>
      </c>
    </row>
    <row r="209" spans="1:5" x14ac:dyDescent="0.25">
      <c r="A209" s="40">
        <v>206</v>
      </c>
      <c r="B209" s="4" t="s">
        <v>101</v>
      </c>
      <c r="C209" s="4" t="s">
        <v>102</v>
      </c>
      <c r="D209" s="4">
        <v>12345883</v>
      </c>
      <c r="E209" s="4">
        <v>2436</v>
      </c>
    </row>
    <row r="210" spans="1:5" x14ac:dyDescent="0.25">
      <c r="A210" s="40">
        <v>207</v>
      </c>
      <c r="B210" s="4" t="s">
        <v>101</v>
      </c>
      <c r="C210" s="4" t="s">
        <v>102</v>
      </c>
      <c r="D210" s="4">
        <v>12345884</v>
      </c>
      <c r="E210" s="4">
        <v>2443</v>
      </c>
    </row>
    <row r="211" spans="1:5" x14ac:dyDescent="0.25">
      <c r="A211" s="40">
        <v>208</v>
      </c>
      <c r="B211" s="4" t="s">
        <v>101</v>
      </c>
      <c r="C211" s="4" t="s">
        <v>102</v>
      </c>
      <c r="D211" s="4">
        <v>12345885</v>
      </c>
      <c r="E211" s="4">
        <v>2450</v>
      </c>
    </row>
    <row r="212" spans="1:5" x14ac:dyDescent="0.25">
      <c r="A212" s="40">
        <v>209</v>
      </c>
      <c r="B212" s="4" t="s">
        <v>101</v>
      </c>
      <c r="C212" s="4" t="s">
        <v>102</v>
      </c>
      <c r="D212" s="4">
        <v>12345886</v>
      </c>
      <c r="E212" s="4">
        <v>2457</v>
      </c>
    </row>
    <row r="213" spans="1:5" x14ac:dyDescent="0.25">
      <c r="A213" s="40">
        <v>210</v>
      </c>
      <c r="B213" s="4" t="s">
        <v>101</v>
      </c>
      <c r="C213" s="4" t="s">
        <v>102</v>
      </c>
      <c r="D213" s="4">
        <v>12345887</v>
      </c>
      <c r="E213" s="4">
        <v>2464</v>
      </c>
    </row>
    <row r="214" spans="1:5" x14ac:dyDescent="0.25">
      <c r="A214" s="40">
        <v>211</v>
      </c>
      <c r="B214" s="4" t="s">
        <v>101</v>
      </c>
      <c r="C214" s="4" t="s">
        <v>102</v>
      </c>
      <c r="D214" s="4">
        <v>12345888</v>
      </c>
      <c r="E214" s="4">
        <v>2471</v>
      </c>
    </row>
    <row r="215" spans="1:5" x14ac:dyDescent="0.25">
      <c r="A215" s="40">
        <v>212</v>
      </c>
      <c r="B215" s="4" t="s">
        <v>101</v>
      </c>
      <c r="C215" s="4" t="s">
        <v>102</v>
      </c>
      <c r="D215" s="4">
        <v>12345889</v>
      </c>
      <c r="E215" s="4">
        <v>2478</v>
      </c>
    </row>
    <row r="216" spans="1:5" x14ac:dyDescent="0.25">
      <c r="A216" s="40">
        <v>213</v>
      </c>
      <c r="B216" s="4" t="s">
        <v>101</v>
      </c>
      <c r="C216" s="4" t="s">
        <v>102</v>
      </c>
      <c r="D216" s="4">
        <v>12345890</v>
      </c>
      <c r="E216" s="4">
        <v>2485</v>
      </c>
    </row>
    <row r="217" spans="1:5" x14ac:dyDescent="0.25">
      <c r="A217" s="40">
        <v>214</v>
      </c>
      <c r="B217" s="4" t="s">
        <v>101</v>
      </c>
      <c r="C217" s="4" t="s">
        <v>102</v>
      </c>
      <c r="D217" s="4">
        <v>12345891</v>
      </c>
      <c r="E217" s="4">
        <v>2492</v>
      </c>
    </row>
    <row r="218" spans="1:5" x14ac:dyDescent="0.25">
      <c r="A218" s="40">
        <v>215</v>
      </c>
      <c r="B218" s="4" t="s">
        <v>101</v>
      </c>
      <c r="C218" s="4" t="s">
        <v>102</v>
      </c>
      <c r="D218" s="4">
        <v>12345892</v>
      </c>
      <c r="E218" s="4">
        <v>2499</v>
      </c>
    </row>
    <row r="219" spans="1:5" x14ac:dyDescent="0.25">
      <c r="A219" s="40">
        <v>216</v>
      </c>
      <c r="B219" s="4" t="s">
        <v>101</v>
      </c>
      <c r="C219" s="4" t="s">
        <v>102</v>
      </c>
      <c r="D219" s="4">
        <v>12345893</v>
      </c>
      <c r="E219" s="4">
        <v>2506</v>
      </c>
    </row>
    <row r="220" spans="1:5" x14ac:dyDescent="0.25">
      <c r="A220" s="40">
        <v>217</v>
      </c>
      <c r="B220" s="4" t="s">
        <v>101</v>
      </c>
      <c r="C220" s="4" t="s">
        <v>102</v>
      </c>
      <c r="D220" s="4">
        <v>12345894</v>
      </c>
      <c r="E220" s="4">
        <v>2513</v>
      </c>
    </row>
    <row r="221" spans="1:5" x14ac:dyDescent="0.25">
      <c r="A221" s="40">
        <v>218</v>
      </c>
      <c r="B221" s="4" t="s">
        <v>101</v>
      </c>
      <c r="C221" s="4" t="s">
        <v>102</v>
      </c>
      <c r="D221" s="4">
        <v>12345895</v>
      </c>
      <c r="E221" s="4">
        <v>2520</v>
      </c>
    </row>
    <row r="222" spans="1:5" x14ac:dyDescent="0.25">
      <c r="A222" s="40">
        <v>219</v>
      </c>
      <c r="B222" s="4" t="s">
        <v>101</v>
      </c>
      <c r="C222" s="4" t="s">
        <v>102</v>
      </c>
      <c r="D222" s="4">
        <v>12345896</v>
      </c>
      <c r="E222" s="4">
        <v>2527</v>
      </c>
    </row>
    <row r="223" spans="1:5" x14ac:dyDescent="0.25">
      <c r="A223" s="40">
        <v>220</v>
      </c>
      <c r="B223" s="4" t="s">
        <v>101</v>
      </c>
      <c r="C223" s="4" t="s">
        <v>102</v>
      </c>
      <c r="D223" s="4">
        <v>12345897</v>
      </c>
      <c r="E223" s="4">
        <v>2534</v>
      </c>
    </row>
    <row r="224" spans="1:5" x14ac:dyDescent="0.25">
      <c r="A224" s="40">
        <v>221</v>
      </c>
      <c r="B224" s="4" t="s">
        <v>101</v>
      </c>
      <c r="C224" s="4" t="s">
        <v>102</v>
      </c>
      <c r="D224" s="4">
        <v>12345898</v>
      </c>
      <c r="E224" s="4">
        <v>2541</v>
      </c>
    </row>
    <row r="225" spans="1:5" x14ac:dyDescent="0.25">
      <c r="A225" s="40">
        <v>222</v>
      </c>
      <c r="B225" s="4" t="s">
        <v>101</v>
      </c>
      <c r="C225" s="4" t="s">
        <v>102</v>
      </c>
      <c r="D225" s="4">
        <v>12345899</v>
      </c>
      <c r="E225" s="4">
        <v>2548</v>
      </c>
    </row>
    <row r="226" spans="1:5" x14ac:dyDescent="0.25">
      <c r="A226" s="40">
        <v>223</v>
      </c>
      <c r="B226" s="4" t="s">
        <v>101</v>
      </c>
      <c r="C226" s="4" t="s">
        <v>102</v>
      </c>
      <c r="D226" s="4">
        <v>12345900</v>
      </c>
      <c r="E226" s="4">
        <v>2555</v>
      </c>
    </row>
    <row r="227" spans="1:5" x14ac:dyDescent="0.25">
      <c r="A227" s="40">
        <v>224</v>
      </c>
      <c r="B227" s="4" t="s">
        <v>101</v>
      </c>
      <c r="C227" s="4" t="s">
        <v>102</v>
      </c>
      <c r="D227" s="4">
        <v>12345901</v>
      </c>
      <c r="E227" s="4">
        <v>2562</v>
      </c>
    </row>
    <row r="228" spans="1:5" x14ac:dyDescent="0.25">
      <c r="A228" s="40">
        <v>225</v>
      </c>
      <c r="B228" s="4" t="s">
        <v>101</v>
      </c>
      <c r="C228" s="4" t="s">
        <v>102</v>
      </c>
      <c r="D228" s="4">
        <v>12345902</v>
      </c>
      <c r="E228" s="4">
        <v>2569</v>
      </c>
    </row>
    <row r="229" spans="1:5" x14ac:dyDescent="0.25">
      <c r="A229" s="40">
        <v>226</v>
      </c>
      <c r="B229" s="4" t="s">
        <v>101</v>
      </c>
      <c r="C229" s="4" t="s">
        <v>102</v>
      </c>
      <c r="D229" s="4">
        <v>12345903</v>
      </c>
      <c r="E229" s="4">
        <v>2576</v>
      </c>
    </row>
    <row r="230" spans="1:5" x14ac:dyDescent="0.25">
      <c r="A230" s="40">
        <v>227</v>
      </c>
      <c r="B230" s="4" t="s">
        <v>101</v>
      </c>
      <c r="C230" s="4" t="s">
        <v>102</v>
      </c>
      <c r="D230" s="4">
        <v>12345904</v>
      </c>
      <c r="E230" s="4">
        <v>2583</v>
      </c>
    </row>
    <row r="231" spans="1:5" x14ac:dyDescent="0.25">
      <c r="A231" s="40">
        <v>228</v>
      </c>
      <c r="B231" s="4" t="s">
        <v>101</v>
      </c>
      <c r="C231" s="4" t="s">
        <v>102</v>
      </c>
      <c r="D231" s="4">
        <v>12345905</v>
      </c>
      <c r="E231" s="4">
        <v>2590</v>
      </c>
    </row>
    <row r="232" spans="1:5" x14ac:dyDescent="0.25">
      <c r="A232" s="40">
        <v>229</v>
      </c>
      <c r="B232" s="4" t="s">
        <v>101</v>
      </c>
      <c r="C232" s="4" t="s">
        <v>102</v>
      </c>
      <c r="D232" s="4">
        <v>12345906</v>
      </c>
      <c r="E232" s="4">
        <v>2597</v>
      </c>
    </row>
    <row r="233" spans="1:5" x14ac:dyDescent="0.25">
      <c r="A233" s="40">
        <v>230</v>
      </c>
      <c r="B233" s="4" t="s">
        <v>101</v>
      </c>
      <c r="C233" s="4" t="s">
        <v>102</v>
      </c>
      <c r="D233" s="4">
        <v>12345907</v>
      </c>
      <c r="E233" s="4">
        <v>2604</v>
      </c>
    </row>
    <row r="234" spans="1:5" x14ac:dyDescent="0.25">
      <c r="A234" s="40">
        <v>231</v>
      </c>
      <c r="B234" s="4" t="s">
        <v>101</v>
      </c>
      <c r="C234" s="4" t="s">
        <v>102</v>
      </c>
      <c r="D234" s="4">
        <v>12345908</v>
      </c>
      <c r="E234" s="4">
        <v>2611</v>
      </c>
    </row>
    <row r="235" spans="1:5" x14ac:dyDescent="0.25">
      <c r="A235" s="40">
        <v>232</v>
      </c>
      <c r="B235" s="4" t="s">
        <v>101</v>
      </c>
      <c r="C235" s="4" t="s">
        <v>102</v>
      </c>
      <c r="D235" s="4">
        <v>12345909</v>
      </c>
      <c r="E235" s="4">
        <v>2618</v>
      </c>
    </row>
    <row r="236" spans="1:5" x14ac:dyDescent="0.25">
      <c r="A236" s="40">
        <v>233</v>
      </c>
      <c r="B236" s="4" t="s">
        <v>101</v>
      </c>
      <c r="C236" s="4" t="s">
        <v>102</v>
      </c>
      <c r="D236" s="4">
        <v>12345910</v>
      </c>
      <c r="E236" s="4">
        <v>2625</v>
      </c>
    </row>
    <row r="237" spans="1:5" x14ac:dyDescent="0.25">
      <c r="A237" s="40">
        <v>234</v>
      </c>
      <c r="B237" s="4" t="s">
        <v>101</v>
      </c>
      <c r="C237" s="4" t="s">
        <v>102</v>
      </c>
      <c r="D237" s="4">
        <v>12345911</v>
      </c>
      <c r="E237" s="4">
        <v>2632</v>
      </c>
    </row>
    <row r="238" spans="1:5" x14ac:dyDescent="0.25">
      <c r="A238" s="40">
        <v>235</v>
      </c>
      <c r="B238" s="4" t="s">
        <v>101</v>
      </c>
      <c r="C238" s="4" t="s">
        <v>102</v>
      </c>
      <c r="D238" s="4">
        <v>12345912</v>
      </c>
      <c r="E238" s="4">
        <v>2639</v>
      </c>
    </row>
    <row r="239" spans="1:5" x14ac:dyDescent="0.25">
      <c r="A239" s="40">
        <v>236</v>
      </c>
      <c r="B239" s="4" t="s">
        <v>101</v>
      </c>
      <c r="C239" s="4" t="s">
        <v>102</v>
      </c>
      <c r="D239" s="4">
        <v>12345913</v>
      </c>
      <c r="E239" s="4">
        <v>2646</v>
      </c>
    </row>
    <row r="240" spans="1:5" x14ac:dyDescent="0.25">
      <c r="A240" s="40">
        <v>237</v>
      </c>
      <c r="B240" s="4" t="s">
        <v>101</v>
      </c>
      <c r="C240" s="4" t="s">
        <v>102</v>
      </c>
      <c r="D240" s="4">
        <v>12345914</v>
      </c>
      <c r="E240" s="4">
        <v>2653</v>
      </c>
    </row>
    <row r="241" spans="1:5" x14ac:dyDescent="0.25">
      <c r="A241" s="40">
        <v>238</v>
      </c>
      <c r="B241" s="4" t="s">
        <v>101</v>
      </c>
      <c r="C241" s="4" t="s">
        <v>102</v>
      </c>
      <c r="D241" s="4">
        <v>12345915</v>
      </c>
      <c r="E241" s="4">
        <v>2660</v>
      </c>
    </row>
    <row r="242" spans="1:5" x14ac:dyDescent="0.25">
      <c r="A242" s="40">
        <v>239</v>
      </c>
      <c r="B242" s="4" t="s">
        <v>101</v>
      </c>
      <c r="C242" s="4" t="s">
        <v>102</v>
      </c>
      <c r="D242" s="4">
        <v>12345916</v>
      </c>
      <c r="E242" s="4">
        <v>2667</v>
      </c>
    </row>
    <row r="243" spans="1:5" x14ac:dyDescent="0.25">
      <c r="A243" s="40">
        <v>240</v>
      </c>
      <c r="B243" s="4" t="s">
        <v>101</v>
      </c>
      <c r="C243" s="4" t="s">
        <v>102</v>
      </c>
      <c r="D243" s="4">
        <v>12345917</v>
      </c>
      <c r="E243" s="4">
        <v>2674</v>
      </c>
    </row>
    <row r="244" spans="1:5" x14ac:dyDescent="0.25">
      <c r="A244" s="40">
        <v>241</v>
      </c>
      <c r="B244" s="4" t="s">
        <v>101</v>
      </c>
      <c r="C244" s="4" t="s">
        <v>102</v>
      </c>
      <c r="D244" s="4">
        <v>12345918</v>
      </c>
      <c r="E244" s="4">
        <v>2681</v>
      </c>
    </row>
    <row r="245" spans="1:5" x14ac:dyDescent="0.25">
      <c r="A245" s="40">
        <v>242</v>
      </c>
      <c r="B245" s="4" t="s">
        <v>101</v>
      </c>
      <c r="C245" s="4" t="s">
        <v>102</v>
      </c>
      <c r="D245" s="4">
        <v>12345919</v>
      </c>
      <c r="E245" s="4">
        <v>2688</v>
      </c>
    </row>
    <row r="246" spans="1:5" x14ac:dyDescent="0.25">
      <c r="A246" s="40">
        <v>243</v>
      </c>
      <c r="B246" s="4" t="s">
        <v>101</v>
      </c>
      <c r="C246" s="4" t="s">
        <v>102</v>
      </c>
      <c r="D246" s="4">
        <v>12345920</v>
      </c>
      <c r="E246" s="4">
        <v>2695</v>
      </c>
    </row>
    <row r="247" spans="1:5" x14ac:dyDescent="0.25">
      <c r="A247" s="40">
        <v>244</v>
      </c>
      <c r="B247" s="4" t="s">
        <v>101</v>
      </c>
      <c r="C247" s="4" t="s">
        <v>102</v>
      </c>
      <c r="D247" s="4">
        <v>12345921</v>
      </c>
      <c r="E247" s="4">
        <v>2702</v>
      </c>
    </row>
    <row r="248" spans="1:5" x14ac:dyDescent="0.25">
      <c r="A248" s="40">
        <v>245</v>
      </c>
      <c r="B248" s="4" t="s">
        <v>101</v>
      </c>
      <c r="C248" s="4" t="s">
        <v>102</v>
      </c>
      <c r="D248" s="4">
        <v>12345922</v>
      </c>
      <c r="E248" s="4">
        <v>2709</v>
      </c>
    </row>
    <row r="249" spans="1:5" x14ac:dyDescent="0.25">
      <c r="A249" s="40">
        <v>246</v>
      </c>
      <c r="B249" s="4" t="s">
        <v>101</v>
      </c>
      <c r="C249" s="4" t="s">
        <v>102</v>
      </c>
      <c r="D249" s="4">
        <v>12345923</v>
      </c>
      <c r="E249" s="4">
        <v>2716</v>
      </c>
    </row>
    <row r="250" spans="1:5" x14ac:dyDescent="0.25">
      <c r="A250" s="40">
        <v>247</v>
      </c>
      <c r="B250" s="4" t="s">
        <v>101</v>
      </c>
      <c r="C250" s="4" t="s">
        <v>102</v>
      </c>
      <c r="D250" s="4">
        <v>12345924</v>
      </c>
      <c r="E250" s="4">
        <v>2723</v>
      </c>
    </row>
    <row r="251" spans="1:5" x14ac:dyDescent="0.25">
      <c r="A251" s="40">
        <v>248</v>
      </c>
      <c r="B251" s="4" t="s">
        <v>101</v>
      </c>
      <c r="C251" s="4" t="s">
        <v>102</v>
      </c>
      <c r="D251" s="4">
        <v>12345925</v>
      </c>
      <c r="E251" s="4">
        <v>2730</v>
      </c>
    </row>
    <row r="252" spans="1:5" x14ac:dyDescent="0.25">
      <c r="A252" s="40">
        <v>249</v>
      </c>
      <c r="B252" s="4" t="s">
        <v>101</v>
      </c>
      <c r="C252" s="4" t="s">
        <v>102</v>
      </c>
      <c r="D252" s="4">
        <v>12345926</v>
      </c>
      <c r="E252" s="4">
        <v>2737</v>
      </c>
    </row>
    <row r="253" spans="1:5" x14ac:dyDescent="0.25">
      <c r="A253" s="40">
        <v>250</v>
      </c>
      <c r="B253" s="4" t="s">
        <v>101</v>
      </c>
      <c r="C253" s="4" t="s">
        <v>103</v>
      </c>
      <c r="D253" s="4">
        <v>12345927</v>
      </c>
      <c r="E253" s="4">
        <v>2744</v>
      </c>
    </row>
  </sheetData>
  <mergeCells count="2">
    <mergeCell ref="A1:E1"/>
    <mergeCell ref="A2:E2"/>
  </mergeCells>
  <conditionalFormatting sqref="D4:D253">
    <cfRule type="cellIs" dxfId="36" priority="1" operator="equal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ebble_day_instant_money.Pebble_day_instant_mone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lear_Pebble_Day_Workers_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Pebble_Voucher_Edito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D718-FF5C-4F58-8A51-A5EABA6287B7}">
  <sheetPr codeName="Sheet8"/>
  <dimension ref="A1:BD253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B4" sqref="B4"/>
    </sheetView>
  </sheetViews>
  <sheetFormatPr defaultColWidth="9.140625" defaultRowHeight="15" x14ac:dyDescent="0.25"/>
  <cols>
    <col min="1" max="1" width="8.140625" style="4" bestFit="1" customWidth="1"/>
    <col min="2" max="2" width="8.85546875" style="4" bestFit="1" customWidth="1"/>
    <col min="3" max="3" width="9.5703125" style="4" bestFit="1" customWidth="1"/>
    <col min="4" max="4" width="12.5703125" style="4" bestFit="1" customWidth="1"/>
    <col min="5" max="5" width="12.85546875" style="4" bestFit="1" customWidth="1"/>
    <col min="6" max="13" width="13.140625" style="4" bestFit="1" customWidth="1"/>
    <col min="14" max="14" width="12.85546875" style="4" bestFit="1" customWidth="1"/>
    <col min="15" max="15" width="12.42578125" style="4" bestFit="1" customWidth="1"/>
    <col min="16" max="23" width="12.85546875" style="4" bestFit="1" customWidth="1"/>
    <col min="24" max="24" width="13.140625" style="4" bestFit="1" customWidth="1"/>
    <col min="25" max="25" width="12.85546875" style="4" bestFit="1" customWidth="1"/>
    <col min="26" max="34" width="13.140625" style="4" bestFit="1" customWidth="1"/>
    <col min="35" max="35" width="10" style="4" bestFit="1" customWidth="1"/>
    <col min="36" max="36" width="8.7109375" style="4" bestFit="1" customWidth="1"/>
    <col min="37" max="37" width="8.85546875" style="4" bestFit="1" customWidth="1"/>
    <col min="38" max="38" width="9.5703125" style="4" bestFit="1" customWidth="1"/>
    <col min="39" max="39" width="12.5703125" style="4" bestFit="1" customWidth="1"/>
    <col min="40" max="40" width="10.140625" style="4" bestFit="1" customWidth="1"/>
    <col min="41" max="41" width="7.140625" style="4" bestFit="1" customWidth="1"/>
    <col min="42" max="42" width="10" style="4" bestFit="1" customWidth="1"/>
    <col min="43" max="43" width="8.7109375" style="4" bestFit="1" customWidth="1"/>
    <col min="44" max="44" width="8.85546875" style="4" bestFit="1" customWidth="1"/>
    <col min="45" max="45" width="9.5703125" style="4" bestFit="1" customWidth="1"/>
    <col min="46" max="46" width="12.5703125" style="4" bestFit="1" customWidth="1"/>
    <col min="47" max="47" width="10.140625" style="4" bestFit="1" customWidth="1"/>
    <col min="48" max="48" width="7.140625" style="4" bestFit="1" customWidth="1"/>
    <col min="49" max="49" width="10" style="4" bestFit="1" customWidth="1"/>
    <col min="50" max="50" width="8.7109375" style="4" bestFit="1" customWidth="1"/>
    <col min="51" max="51" width="10.28515625" style="4" bestFit="1" customWidth="1"/>
    <col min="52" max="54" width="9.140625" style="4"/>
    <col min="55" max="55" width="18.28515625" style="4" bestFit="1" customWidth="1"/>
    <col min="56" max="16384" width="9.140625" style="4"/>
  </cols>
  <sheetData>
    <row r="1" spans="1:56" ht="21" customHeight="1" x14ac:dyDescent="0.25">
      <c r="A1" s="24"/>
      <c r="B1" s="62" t="s">
        <v>3</v>
      </c>
      <c r="C1" s="62"/>
      <c r="D1" s="62"/>
      <c r="E1" s="62"/>
      <c r="F1" s="62"/>
      <c r="G1" s="62"/>
      <c r="H1" s="62"/>
      <c r="I1" s="62" t="s">
        <v>4</v>
      </c>
      <c r="J1" s="62"/>
      <c r="K1" s="62"/>
      <c r="L1" s="62"/>
      <c r="M1" s="62"/>
      <c r="N1" s="62"/>
      <c r="O1" s="62"/>
      <c r="P1" s="62" t="s">
        <v>5</v>
      </c>
      <c r="Q1" s="62"/>
      <c r="R1" s="62"/>
      <c r="S1" s="62"/>
      <c r="T1" s="62"/>
      <c r="U1" s="62"/>
      <c r="V1" s="62"/>
      <c r="W1" s="62" t="s">
        <v>6</v>
      </c>
      <c r="X1" s="62"/>
      <c r="Y1" s="62"/>
      <c r="Z1" s="62"/>
      <c r="AA1" s="62"/>
      <c r="AB1" s="62"/>
      <c r="AC1" s="62"/>
      <c r="AD1" s="62" t="s">
        <v>7</v>
      </c>
      <c r="AE1" s="62"/>
      <c r="AF1" s="62"/>
      <c r="AG1" s="62"/>
      <c r="AH1" s="62"/>
      <c r="AI1" s="62"/>
      <c r="AJ1" s="62"/>
      <c r="AK1" s="62" t="s">
        <v>38</v>
      </c>
      <c r="AL1" s="62"/>
      <c r="AM1" s="62"/>
      <c r="AN1" s="62"/>
      <c r="AO1" s="62"/>
      <c r="AP1" s="62"/>
      <c r="AQ1" s="62"/>
      <c r="AR1" s="62" t="s">
        <v>39</v>
      </c>
      <c r="AS1" s="62"/>
      <c r="AT1" s="62"/>
      <c r="AU1" s="62"/>
      <c r="AV1" s="62"/>
      <c r="AW1" s="62"/>
      <c r="AX1" s="62"/>
      <c r="AY1" s="80" t="s">
        <v>40</v>
      </c>
      <c r="BC1" s="79" t="s">
        <v>27</v>
      </c>
      <c r="BD1" s="79"/>
    </row>
    <row r="2" spans="1:56" ht="21" customHeight="1" x14ac:dyDescent="0.25">
      <c r="A2" s="42" t="s">
        <v>47</v>
      </c>
      <c r="B2" s="42" t="s">
        <v>33</v>
      </c>
      <c r="C2" s="42" t="s">
        <v>34</v>
      </c>
      <c r="D2" s="42" t="s">
        <v>35</v>
      </c>
      <c r="E2" s="42" t="s">
        <v>36</v>
      </c>
      <c r="F2" s="42" t="s">
        <v>30</v>
      </c>
      <c r="G2" s="42" t="s">
        <v>31</v>
      </c>
      <c r="H2" s="42" t="s">
        <v>32</v>
      </c>
      <c r="I2" s="13" t="s">
        <v>33</v>
      </c>
      <c r="J2" s="13" t="s">
        <v>34</v>
      </c>
      <c r="K2" s="13" t="s">
        <v>35</v>
      </c>
      <c r="L2" s="13" t="s">
        <v>36</v>
      </c>
      <c r="M2" s="13" t="s">
        <v>30</v>
      </c>
      <c r="N2" s="13" t="s">
        <v>31</v>
      </c>
      <c r="O2" s="13" t="s">
        <v>32</v>
      </c>
      <c r="P2" s="13" t="s">
        <v>33</v>
      </c>
      <c r="Q2" s="13" t="s">
        <v>34</v>
      </c>
      <c r="R2" s="13" t="s">
        <v>35</v>
      </c>
      <c r="S2" s="13" t="s">
        <v>36</v>
      </c>
      <c r="T2" s="13" t="s">
        <v>30</v>
      </c>
      <c r="U2" s="13" t="s">
        <v>31</v>
      </c>
      <c r="V2" s="13" t="s">
        <v>32</v>
      </c>
      <c r="W2" s="13" t="s">
        <v>33</v>
      </c>
      <c r="X2" s="13" t="s">
        <v>34</v>
      </c>
      <c r="Y2" s="13" t="s">
        <v>35</v>
      </c>
      <c r="Z2" s="13" t="s">
        <v>36</v>
      </c>
      <c r="AA2" s="13" t="s">
        <v>30</v>
      </c>
      <c r="AB2" s="13" t="s">
        <v>31</v>
      </c>
      <c r="AC2" s="13" t="s">
        <v>32</v>
      </c>
      <c r="AD2" s="13" t="s">
        <v>33</v>
      </c>
      <c r="AE2" s="13" t="s">
        <v>34</v>
      </c>
      <c r="AF2" s="13" t="s">
        <v>35</v>
      </c>
      <c r="AG2" s="13" t="s">
        <v>36</v>
      </c>
      <c r="AH2" s="13" t="s">
        <v>30</v>
      </c>
      <c r="AI2" s="13" t="s">
        <v>31</v>
      </c>
      <c r="AJ2" s="13" t="s">
        <v>32</v>
      </c>
      <c r="AK2" s="13" t="s">
        <v>33</v>
      </c>
      <c r="AL2" s="13" t="s">
        <v>34</v>
      </c>
      <c r="AM2" s="13" t="s">
        <v>35</v>
      </c>
      <c r="AN2" s="13" t="s">
        <v>36</v>
      </c>
      <c r="AO2" s="13" t="s">
        <v>30</v>
      </c>
      <c r="AP2" s="13" t="s">
        <v>31</v>
      </c>
      <c r="AQ2" s="13" t="s">
        <v>32</v>
      </c>
      <c r="AR2" s="13" t="s">
        <v>33</v>
      </c>
      <c r="AS2" s="13" t="s">
        <v>34</v>
      </c>
      <c r="AT2" s="13" t="s">
        <v>35</v>
      </c>
      <c r="AU2" s="13" t="s">
        <v>36</v>
      </c>
      <c r="AV2" s="13" t="s">
        <v>30</v>
      </c>
      <c r="AW2" s="13" t="s">
        <v>31</v>
      </c>
      <c r="AX2" s="13" t="s">
        <v>32</v>
      </c>
      <c r="AY2" s="80"/>
      <c r="BC2" s="79"/>
      <c r="BD2" s="79"/>
    </row>
    <row r="3" spans="1:56" ht="21" customHeight="1" x14ac:dyDescent="0.25">
      <c r="A3" s="42" t="s">
        <v>8</v>
      </c>
      <c r="B3" s="43"/>
      <c r="C3" s="43"/>
      <c r="D3" s="43"/>
      <c r="E3" s="43"/>
      <c r="F3" s="43"/>
      <c r="G3" s="43"/>
      <c r="H3" s="43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7"/>
      <c r="AY3" s="26">
        <f>SUM(AY4:INDEX(AY:AY,ROWS(AY:AY)))</f>
        <v>250</v>
      </c>
    </row>
    <row r="4" spans="1:56" x14ac:dyDescent="0.25">
      <c r="A4" s="45">
        <v>1</v>
      </c>
      <c r="B4" s="3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13">
        <f>SUM(B4:AX4)</f>
        <v>1</v>
      </c>
    </row>
    <row r="5" spans="1:56" x14ac:dyDescent="0.25">
      <c r="A5" s="45">
        <v>2</v>
      </c>
      <c r="B5" s="3">
        <v>1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13">
        <f t="shared" ref="AY5:AY67" si="0">SUM(B5:AX5)</f>
        <v>1</v>
      </c>
    </row>
    <row r="6" spans="1:56" x14ac:dyDescent="0.25">
      <c r="A6" s="45">
        <v>3</v>
      </c>
      <c r="B6" s="3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13">
        <f t="shared" si="0"/>
        <v>1</v>
      </c>
    </row>
    <row r="7" spans="1:56" x14ac:dyDescent="0.25">
      <c r="A7" s="45">
        <v>4</v>
      </c>
      <c r="B7" s="3">
        <v>1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13">
        <f t="shared" si="0"/>
        <v>1</v>
      </c>
    </row>
    <row r="8" spans="1:56" x14ac:dyDescent="0.25">
      <c r="A8" s="45">
        <v>5</v>
      </c>
      <c r="B8" s="3">
        <v>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13">
        <f t="shared" si="0"/>
        <v>1</v>
      </c>
    </row>
    <row r="9" spans="1:56" x14ac:dyDescent="0.25">
      <c r="A9" s="45">
        <v>6</v>
      </c>
      <c r="B9" s="3">
        <v>1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13">
        <f t="shared" si="0"/>
        <v>1</v>
      </c>
    </row>
    <row r="10" spans="1:56" x14ac:dyDescent="0.25">
      <c r="A10" s="45">
        <v>7</v>
      </c>
      <c r="B10" s="3">
        <v>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13">
        <f t="shared" si="0"/>
        <v>1</v>
      </c>
    </row>
    <row r="11" spans="1:56" x14ac:dyDescent="0.25">
      <c r="A11" s="45">
        <v>8</v>
      </c>
      <c r="B11" s="3">
        <v>1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13">
        <f t="shared" si="0"/>
        <v>1</v>
      </c>
    </row>
    <row r="12" spans="1:56" x14ac:dyDescent="0.25">
      <c r="A12" s="45">
        <v>9</v>
      </c>
      <c r="B12" s="3">
        <v>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13">
        <f t="shared" si="0"/>
        <v>1</v>
      </c>
    </row>
    <row r="13" spans="1:56" x14ac:dyDescent="0.25">
      <c r="A13" s="45">
        <v>10</v>
      </c>
      <c r="B13" s="3">
        <v>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13">
        <f t="shared" si="0"/>
        <v>1</v>
      </c>
    </row>
    <row r="14" spans="1:56" x14ac:dyDescent="0.25">
      <c r="A14" s="45">
        <v>11</v>
      </c>
      <c r="B14" s="3">
        <v>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13">
        <f t="shared" si="0"/>
        <v>1</v>
      </c>
    </row>
    <row r="15" spans="1:56" x14ac:dyDescent="0.25">
      <c r="A15" s="45">
        <v>12</v>
      </c>
      <c r="B15" s="3">
        <v>1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13">
        <f t="shared" si="0"/>
        <v>1</v>
      </c>
    </row>
    <row r="16" spans="1:56" x14ac:dyDescent="0.25">
      <c r="A16" s="45">
        <v>13</v>
      </c>
      <c r="B16" s="3">
        <v>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13">
        <f t="shared" si="0"/>
        <v>1</v>
      </c>
    </row>
    <row r="17" spans="1:51" x14ac:dyDescent="0.25">
      <c r="A17" s="45">
        <v>14</v>
      </c>
      <c r="B17" s="3">
        <v>1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13">
        <f t="shared" si="0"/>
        <v>1</v>
      </c>
    </row>
    <row r="18" spans="1:51" x14ac:dyDescent="0.25">
      <c r="A18" s="45">
        <v>15</v>
      </c>
      <c r="B18" s="3">
        <v>1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13">
        <f t="shared" si="0"/>
        <v>1</v>
      </c>
    </row>
    <row r="19" spans="1:51" x14ac:dyDescent="0.25">
      <c r="A19" s="45">
        <v>16</v>
      </c>
      <c r="B19" s="3">
        <v>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13">
        <f t="shared" si="0"/>
        <v>1</v>
      </c>
    </row>
    <row r="20" spans="1:51" x14ac:dyDescent="0.25">
      <c r="A20" s="45">
        <v>17</v>
      </c>
      <c r="B20" s="3">
        <v>1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13">
        <f t="shared" si="0"/>
        <v>1</v>
      </c>
    </row>
    <row r="21" spans="1:51" x14ac:dyDescent="0.25">
      <c r="A21" s="45">
        <v>18</v>
      </c>
      <c r="B21" s="3">
        <v>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13">
        <f t="shared" si="0"/>
        <v>1</v>
      </c>
    </row>
    <row r="22" spans="1:51" x14ac:dyDescent="0.25">
      <c r="A22" s="45">
        <v>19</v>
      </c>
      <c r="B22" s="3">
        <v>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13">
        <f t="shared" si="0"/>
        <v>1</v>
      </c>
    </row>
    <row r="23" spans="1:51" x14ac:dyDescent="0.25">
      <c r="A23" s="45">
        <v>20</v>
      </c>
      <c r="B23" s="3">
        <v>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13">
        <f t="shared" si="0"/>
        <v>1</v>
      </c>
    </row>
    <row r="24" spans="1:51" x14ac:dyDescent="0.25">
      <c r="A24" s="45">
        <v>21</v>
      </c>
      <c r="B24" s="3">
        <v>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13">
        <f t="shared" si="0"/>
        <v>1</v>
      </c>
    </row>
    <row r="25" spans="1:51" x14ac:dyDescent="0.25">
      <c r="A25" s="45">
        <v>22</v>
      </c>
      <c r="B25" s="3">
        <v>1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13">
        <f t="shared" si="0"/>
        <v>1</v>
      </c>
    </row>
    <row r="26" spans="1:51" x14ac:dyDescent="0.25">
      <c r="A26" s="45">
        <v>23</v>
      </c>
      <c r="B26" s="3">
        <v>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13">
        <f t="shared" si="0"/>
        <v>1</v>
      </c>
    </row>
    <row r="27" spans="1:51" x14ac:dyDescent="0.25">
      <c r="A27" s="45">
        <v>24</v>
      </c>
      <c r="B27" s="3">
        <v>1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13">
        <f t="shared" si="0"/>
        <v>1</v>
      </c>
    </row>
    <row r="28" spans="1:51" x14ac:dyDescent="0.25">
      <c r="A28" s="45">
        <v>25</v>
      </c>
      <c r="B28" s="3">
        <v>1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13">
        <f t="shared" si="0"/>
        <v>1</v>
      </c>
    </row>
    <row r="29" spans="1:51" x14ac:dyDescent="0.25">
      <c r="A29" s="45">
        <v>26</v>
      </c>
      <c r="B29" s="3">
        <v>1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13">
        <f t="shared" si="0"/>
        <v>1</v>
      </c>
    </row>
    <row r="30" spans="1:51" x14ac:dyDescent="0.25">
      <c r="A30" s="45">
        <v>27</v>
      </c>
      <c r="B30" s="3">
        <v>1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13">
        <f t="shared" si="0"/>
        <v>1</v>
      </c>
    </row>
    <row r="31" spans="1:51" x14ac:dyDescent="0.25">
      <c r="A31" s="45">
        <v>28</v>
      </c>
      <c r="B31" s="3">
        <v>1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13">
        <f t="shared" si="0"/>
        <v>1</v>
      </c>
    </row>
    <row r="32" spans="1:51" x14ac:dyDescent="0.25">
      <c r="A32" s="45">
        <v>29</v>
      </c>
      <c r="B32" s="3">
        <v>1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13">
        <f t="shared" si="0"/>
        <v>1</v>
      </c>
    </row>
    <row r="33" spans="1:51" x14ac:dyDescent="0.25">
      <c r="A33" s="45">
        <v>30</v>
      </c>
      <c r="B33" s="3">
        <v>1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13">
        <f t="shared" si="0"/>
        <v>1</v>
      </c>
    </row>
    <row r="34" spans="1:51" x14ac:dyDescent="0.25">
      <c r="A34" s="45">
        <v>31</v>
      </c>
      <c r="B34" s="3">
        <v>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13">
        <f t="shared" si="0"/>
        <v>1</v>
      </c>
    </row>
    <row r="35" spans="1:51" x14ac:dyDescent="0.25">
      <c r="A35" s="45">
        <v>32</v>
      </c>
      <c r="B35" s="3">
        <v>1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13">
        <f t="shared" si="0"/>
        <v>1</v>
      </c>
    </row>
    <row r="36" spans="1:51" x14ac:dyDescent="0.25">
      <c r="A36" s="45">
        <v>33</v>
      </c>
      <c r="B36" s="3">
        <v>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13">
        <f t="shared" si="0"/>
        <v>1</v>
      </c>
    </row>
    <row r="37" spans="1:51" x14ac:dyDescent="0.25">
      <c r="A37" s="45">
        <v>34</v>
      </c>
      <c r="B37" s="3">
        <v>1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13">
        <f t="shared" si="0"/>
        <v>1</v>
      </c>
    </row>
    <row r="38" spans="1:51" x14ac:dyDescent="0.25">
      <c r="A38" s="45">
        <v>35</v>
      </c>
      <c r="B38" s="3">
        <v>1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13">
        <f t="shared" si="0"/>
        <v>1</v>
      </c>
    </row>
    <row r="39" spans="1:51" x14ac:dyDescent="0.25">
      <c r="A39" s="45">
        <v>36</v>
      </c>
      <c r="B39" s="3">
        <v>1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13">
        <f t="shared" si="0"/>
        <v>1</v>
      </c>
    </row>
    <row r="40" spans="1:51" x14ac:dyDescent="0.25">
      <c r="A40" s="45">
        <v>37</v>
      </c>
      <c r="B40" s="3">
        <v>1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13">
        <f t="shared" si="0"/>
        <v>1</v>
      </c>
    </row>
    <row r="41" spans="1:51" x14ac:dyDescent="0.25">
      <c r="A41" s="45">
        <v>38</v>
      </c>
      <c r="B41" s="3">
        <v>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13">
        <f t="shared" si="0"/>
        <v>1</v>
      </c>
    </row>
    <row r="42" spans="1:51" x14ac:dyDescent="0.25">
      <c r="A42" s="45">
        <v>39</v>
      </c>
      <c r="B42" s="3">
        <v>1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13">
        <f t="shared" si="0"/>
        <v>1</v>
      </c>
    </row>
    <row r="43" spans="1:51" x14ac:dyDescent="0.25">
      <c r="A43" s="45">
        <v>40</v>
      </c>
      <c r="B43" s="3">
        <v>1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13">
        <f t="shared" si="0"/>
        <v>1</v>
      </c>
    </row>
    <row r="44" spans="1:51" x14ac:dyDescent="0.25">
      <c r="A44" s="45">
        <v>41</v>
      </c>
      <c r="B44" s="3">
        <v>1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13">
        <f t="shared" si="0"/>
        <v>1</v>
      </c>
    </row>
    <row r="45" spans="1:51" x14ac:dyDescent="0.25">
      <c r="A45" s="45">
        <v>42</v>
      </c>
      <c r="B45" s="3">
        <v>1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13">
        <f t="shared" si="0"/>
        <v>1</v>
      </c>
    </row>
    <row r="46" spans="1:51" x14ac:dyDescent="0.25">
      <c r="A46" s="45">
        <v>43</v>
      </c>
      <c r="B46" s="3">
        <v>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13">
        <f t="shared" si="0"/>
        <v>1</v>
      </c>
    </row>
    <row r="47" spans="1:51" x14ac:dyDescent="0.25">
      <c r="A47" s="45">
        <v>44</v>
      </c>
      <c r="B47" s="3">
        <v>1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13">
        <f t="shared" si="0"/>
        <v>1</v>
      </c>
    </row>
    <row r="48" spans="1:51" x14ac:dyDescent="0.25">
      <c r="A48" s="45">
        <v>45</v>
      </c>
      <c r="B48" s="3">
        <v>1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13">
        <f t="shared" si="0"/>
        <v>1</v>
      </c>
    </row>
    <row r="49" spans="1:51" x14ac:dyDescent="0.25">
      <c r="A49" s="45">
        <v>46</v>
      </c>
      <c r="B49" s="3">
        <v>1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13">
        <f t="shared" si="0"/>
        <v>1</v>
      </c>
    </row>
    <row r="50" spans="1:51" x14ac:dyDescent="0.25">
      <c r="A50" s="45">
        <v>47</v>
      </c>
      <c r="B50" s="3">
        <v>1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13">
        <f t="shared" si="0"/>
        <v>1</v>
      </c>
    </row>
    <row r="51" spans="1:51" x14ac:dyDescent="0.25">
      <c r="A51" s="45">
        <v>48</v>
      </c>
      <c r="B51" s="3">
        <v>1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13">
        <f t="shared" si="0"/>
        <v>1</v>
      </c>
    </row>
    <row r="52" spans="1:51" x14ac:dyDescent="0.25">
      <c r="A52" s="45">
        <v>49</v>
      </c>
      <c r="B52" s="3">
        <v>1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13">
        <f t="shared" si="0"/>
        <v>1</v>
      </c>
    </row>
    <row r="53" spans="1:51" x14ac:dyDescent="0.25">
      <c r="A53" s="45">
        <v>50</v>
      </c>
      <c r="B53" s="3">
        <v>1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13">
        <f t="shared" si="0"/>
        <v>1</v>
      </c>
    </row>
    <row r="54" spans="1:51" x14ac:dyDescent="0.25">
      <c r="A54" s="45">
        <v>51</v>
      </c>
      <c r="B54" s="3">
        <v>1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13">
        <f t="shared" si="0"/>
        <v>1</v>
      </c>
    </row>
    <row r="55" spans="1:51" x14ac:dyDescent="0.25">
      <c r="A55" s="45">
        <v>52</v>
      </c>
      <c r="B55" s="3">
        <v>1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13">
        <f t="shared" si="0"/>
        <v>1</v>
      </c>
    </row>
    <row r="56" spans="1:51" x14ac:dyDescent="0.25">
      <c r="A56" s="45">
        <v>53</v>
      </c>
      <c r="B56" s="3">
        <v>1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13">
        <f t="shared" si="0"/>
        <v>1</v>
      </c>
    </row>
    <row r="57" spans="1:51" x14ac:dyDescent="0.25">
      <c r="A57" s="45">
        <v>54</v>
      </c>
      <c r="B57" s="3">
        <v>1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13">
        <f t="shared" si="0"/>
        <v>1</v>
      </c>
    </row>
    <row r="58" spans="1:51" x14ac:dyDescent="0.25">
      <c r="A58" s="45">
        <v>55</v>
      </c>
      <c r="B58" s="3">
        <v>1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13">
        <f t="shared" si="0"/>
        <v>1</v>
      </c>
    </row>
    <row r="59" spans="1:51" x14ac:dyDescent="0.25">
      <c r="A59" s="45">
        <v>56</v>
      </c>
      <c r="B59" s="3">
        <v>1</v>
      </c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13">
        <f t="shared" si="0"/>
        <v>1</v>
      </c>
    </row>
    <row r="60" spans="1:51" x14ac:dyDescent="0.25">
      <c r="A60" s="45">
        <v>57</v>
      </c>
      <c r="B60" s="3">
        <v>1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13">
        <f t="shared" si="0"/>
        <v>1</v>
      </c>
    </row>
    <row r="61" spans="1:51" x14ac:dyDescent="0.25">
      <c r="A61" s="45">
        <v>58</v>
      </c>
      <c r="B61" s="3">
        <v>1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13">
        <f t="shared" si="0"/>
        <v>1</v>
      </c>
    </row>
    <row r="62" spans="1:51" x14ac:dyDescent="0.25">
      <c r="A62" s="45">
        <v>59</v>
      </c>
      <c r="B62" s="3">
        <v>1</v>
      </c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13">
        <f t="shared" si="0"/>
        <v>1</v>
      </c>
    </row>
    <row r="63" spans="1:51" x14ac:dyDescent="0.25">
      <c r="A63" s="45">
        <v>60</v>
      </c>
      <c r="B63" s="3">
        <v>1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13">
        <f t="shared" si="0"/>
        <v>1</v>
      </c>
    </row>
    <row r="64" spans="1:51" x14ac:dyDescent="0.25">
      <c r="A64" s="45">
        <v>61</v>
      </c>
      <c r="B64" s="3">
        <v>1</v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13">
        <f t="shared" si="0"/>
        <v>1</v>
      </c>
    </row>
    <row r="65" spans="1:51" x14ac:dyDescent="0.25">
      <c r="A65" s="45">
        <v>62</v>
      </c>
      <c r="B65" s="3">
        <v>1</v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13">
        <f t="shared" si="0"/>
        <v>1</v>
      </c>
    </row>
    <row r="66" spans="1:51" x14ac:dyDescent="0.25">
      <c r="A66" s="45">
        <v>63</v>
      </c>
      <c r="B66" s="3">
        <v>1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13">
        <f t="shared" si="0"/>
        <v>1</v>
      </c>
    </row>
    <row r="67" spans="1:51" x14ac:dyDescent="0.25">
      <c r="A67" s="45">
        <v>64</v>
      </c>
      <c r="B67" s="3">
        <v>1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13">
        <f t="shared" si="0"/>
        <v>1</v>
      </c>
    </row>
    <row r="68" spans="1:51" x14ac:dyDescent="0.25">
      <c r="A68" s="45">
        <v>65</v>
      </c>
      <c r="B68" s="3">
        <v>1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13">
        <f t="shared" ref="AY68:AY131" si="1">SUM(B68:AX68)</f>
        <v>1</v>
      </c>
    </row>
    <row r="69" spans="1:51" x14ac:dyDescent="0.25">
      <c r="A69" s="45">
        <v>66</v>
      </c>
      <c r="B69" s="3">
        <v>1</v>
      </c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13">
        <f t="shared" si="1"/>
        <v>1</v>
      </c>
    </row>
    <row r="70" spans="1:51" x14ac:dyDescent="0.25">
      <c r="A70" s="45">
        <v>67</v>
      </c>
      <c r="B70" s="3">
        <v>1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13">
        <f t="shared" si="1"/>
        <v>1</v>
      </c>
    </row>
    <row r="71" spans="1:51" x14ac:dyDescent="0.25">
      <c r="A71" s="45">
        <v>68</v>
      </c>
      <c r="B71" s="3">
        <v>1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13">
        <f t="shared" si="1"/>
        <v>1</v>
      </c>
    </row>
    <row r="72" spans="1:51" x14ac:dyDescent="0.25">
      <c r="A72" s="45">
        <v>69</v>
      </c>
      <c r="B72" s="3">
        <v>1</v>
      </c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13">
        <f t="shared" si="1"/>
        <v>1</v>
      </c>
    </row>
    <row r="73" spans="1:51" x14ac:dyDescent="0.25">
      <c r="A73" s="45">
        <v>70</v>
      </c>
      <c r="B73" s="3">
        <v>1</v>
      </c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13">
        <f t="shared" si="1"/>
        <v>1</v>
      </c>
    </row>
    <row r="74" spans="1:51" x14ac:dyDescent="0.25">
      <c r="A74" s="45">
        <v>71</v>
      </c>
      <c r="B74" s="3">
        <v>1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13">
        <f t="shared" si="1"/>
        <v>1</v>
      </c>
    </row>
    <row r="75" spans="1:51" x14ac:dyDescent="0.25">
      <c r="A75" s="45">
        <v>72</v>
      </c>
      <c r="B75" s="3">
        <v>1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13">
        <f t="shared" si="1"/>
        <v>1</v>
      </c>
    </row>
    <row r="76" spans="1:51" x14ac:dyDescent="0.25">
      <c r="A76" s="45">
        <v>73</v>
      </c>
      <c r="B76" s="3">
        <v>1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13">
        <f t="shared" si="1"/>
        <v>1</v>
      </c>
    </row>
    <row r="77" spans="1:51" x14ac:dyDescent="0.25">
      <c r="A77" s="45">
        <v>74</v>
      </c>
      <c r="B77" s="3">
        <v>1</v>
      </c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13">
        <f t="shared" si="1"/>
        <v>1</v>
      </c>
    </row>
    <row r="78" spans="1:51" x14ac:dyDescent="0.25">
      <c r="A78" s="45">
        <v>75</v>
      </c>
      <c r="B78" s="3">
        <v>1</v>
      </c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13">
        <f t="shared" si="1"/>
        <v>1</v>
      </c>
    </row>
    <row r="79" spans="1:51" x14ac:dyDescent="0.25">
      <c r="A79" s="45">
        <v>76</v>
      </c>
      <c r="B79" s="3">
        <v>1</v>
      </c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13">
        <f t="shared" si="1"/>
        <v>1</v>
      </c>
    </row>
    <row r="80" spans="1:51" x14ac:dyDescent="0.25">
      <c r="A80" s="45">
        <v>77</v>
      </c>
      <c r="B80" s="3">
        <v>1</v>
      </c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13">
        <f t="shared" si="1"/>
        <v>1</v>
      </c>
    </row>
    <row r="81" spans="1:51" x14ac:dyDescent="0.25">
      <c r="A81" s="45">
        <v>78</v>
      </c>
      <c r="B81" s="3">
        <v>1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13">
        <f t="shared" si="1"/>
        <v>1</v>
      </c>
    </row>
    <row r="82" spans="1:51" x14ac:dyDescent="0.25">
      <c r="A82" s="45">
        <v>79</v>
      </c>
      <c r="B82" s="3">
        <v>1</v>
      </c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13">
        <f t="shared" si="1"/>
        <v>1</v>
      </c>
    </row>
    <row r="83" spans="1:51" x14ac:dyDescent="0.25">
      <c r="A83" s="45">
        <v>80</v>
      </c>
      <c r="B83" s="3">
        <v>1</v>
      </c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13">
        <f t="shared" si="1"/>
        <v>1</v>
      </c>
    </row>
    <row r="84" spans="1:51" x14ac:dyDescent="0.25">
      <c r="A84" s="45">
        <v>81</v>
      </c>
      <c r="B84" s="3">
        <v>1</v>
      </c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13">
        <f t="shared" si="1"/>
        <v>1</v>
      </c>
    </row>
    <row r="85" spans="1:51" x14ac:dyDescent="0.25">
      <c r="A85" s="45">
        <v>82</v>
      </c>
      <c r="B85" s="3">
        <v>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13">
        <f t="shared" si="1"/>
        <v>1</v>
      </c>
    </row>
    <row r="86" spans="1:51" x14ac:dyDescent="0.25">
      <c r="A86" s="45">
        <v>83</v>
      </c>
      <c r="B86" s="3">
        <v>1</v>
      </c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13">
        <f t="shared" si="1"/>
        <v>1</v>
      </c>
    </row>
    <row r="87" spans="1:51" x14ac:dyDescent="0.25">
      <c r="A87" s="45">
        <v>84</v>
      </c>
      <c r="B87" s="3">
        <v>1</v>
      </c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13">
        <f t="shared" si="1"/>
        <v>1</v>
      </c>
    </row>
    <row r="88" spans="1:51" x14ac:dyDescent="0.25">
      <c r="A88" s="45">
        <v>85</v>
      </c>
      <c r="B88" s="3">
        <v>1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13">
        <f t="shared" si="1"/>
        <v>1</v>
      </c>
    </row>
    <row r="89" spans="1:51" x14ac:dyDescent="0.25">
      <c r="A89" s="45">
        <v>86</v>
      </c>
      <c r="B89" s="3">
        <v>1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13">
        <f t="shared" si="1"/>
        <v>1</v>
      </c>
    </row>
    <row r="90" spans="1:51" x14ac:dyDescent="0.25">
      <c r="A90" s="45">
        <v>87</v>
      </c>
      <c r="B90" s="3">
        <v>1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13">
        <f t="shared" si="1"/>
        <v>1</v>
      </c>
    </row>
    <row r="91" spans="1:51" x14ac:dyDescent="0.25">
      <c r="A91" s="45">
        <v>88</v>
      </c>
      <c r="B91" s="3">
        <v>1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13">
        <f t="shared" si="1"/>
        <v>1</v>
      </c>
    </row>
    <row r="92" spans="1:51" x14ac:dyDescent="0.25">
      <c r="A92" s="45">
        <v>89</v>
      </c>
      <c r="B92" s="3">
        <v>1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13">
        <f t="shared" si="1"/>
        <v>1</v>
      </c>
    </row>
    <row r="93" spans="1:51" x14ac:dyDescent="0.25">
      <c r="A93" s="45">
        <v>90</v>
      </c>
      <c r="B93" s="3">
        <v>1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13">
        <f t="shared" si="1"/>
        <v>1</v>
      </c>
    </row>
    <row r="94" spans="1:51" x14ac:dyDescent="0.25">
      <c r="A94" s="45">
        <v>91</v>
      </c>
      <c r="B94" s="3">
        <v>1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13">
        <f t="shared" si="1"/>
        <v>1</v>
      </c>
    </row>
    <row r="95" spans="1:51" x14ac:dyDescent="0.25">
      <c r="A95" s="45">
        <v>92</v>
      </c>
      <c r="B95" s="3">
        <v>1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13">
        <f t="shared" si="1"/>
        <v>1</v>
      </c>
    </row>
    <row r="96" spans="1:51" x14ac:dyDescent="0.25">
      <c r="A96" s="45">
        <v>93</v>
      </c>
      <c r="B96" s="3">
        <v>1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13">
        <f t="shared" si="1"/>
        <v>1</v>
      </c>
    </row>
    <row r="97" spans="1:51" x14ac:dyDescent="0.25">
      <c r="A97" s="45">
        <v>94</v>
      </c>
      <c r="B97" s="3">
        <v>1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13">
        <f t="shared" si="1"/>
        <v>1</v>
      </c>
    </row>
    <row r="98" spans="1:51" x14ac:dyDescent="0.25">
      <c r="A98" s="45">
        <v>95</v>
      </c>
      <c r="B98" s="3">
        <v>1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13">
        <f t="shared" si="1"/>
        <v>1</v>
      </c>
    </row>
    <row r="99" spans="1:51" x14ac:dyDescent="0.25">
      <c r="A99" s="45">
        <v>96</v>
      </c>
      <c r="B99" s="3">
        <v>1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13">
        <f t="shared" si="1"/>
        <v>1</v>
      </c>
    </row>
    <row r="100" spans="1:51" x14ac:dyDescent="0.25">
      <c r="A100" s="45">
        <v>97</v>
      </c>
      <c r="B100" s="3">
        <v>1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13">
        <f t="shared" si="1"/>
        <v>1</v>
      </c>
    </row>
    <row r="101" spans="1:51" x14ac:dyDescent="0.25">
      <c r="A101" s="45">
        <v>98</v>
      </c>
      <c r="B101" s="3">
        <v>1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13">
        <f t="shared" si="1"/>
        <v>1</v>
      </c>
    </row>
    <row r="102" spans="1:51" x14ac:dyDescent="0.25">
      <c r="A102" s="45">
        <v>99</v>
      </c>
      <c r="B102" s="3">
        <v>1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13">
        <f t="shared" si="1"/>
        <v>1</v>
      </c>
    </row>
    <row r="103" spans="1:51" x14ac:dyDescent="0.25">
      <c r="A103" s="45">
        <v>100</v>
      </c>
      <c r="B103" s="3">
        <v>1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13">
        <f t="shared" si="1"/>
        <v>1</v>
      </c>
    </row>
    <row r="104" spans="1:51" x14ac:dyDescent="0.25">
      <c r="A104" s="45">
        <v>101</v>
      </c>
      <c r="B104" s="3">
        <v>1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13">
        <f t="shared" si="1"/>
        <v>1</v>
      </c>
    </row>
    <row r="105" spans="1:51" x14ac:dyDescent="0.25">
      <c r="A105" s="45">
        <v>102</v>
      </c>
      <c r="B105" s="3">
        <v>1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13">
        <f t="shared" si="1"/>
        <v>1</v>
      </c>
    </row>
    <row r="106" spans="1:51" x14ac:dyDescent="0.25">
      <c r="A106" s="45">
        <v>103</v>
      </c>
      <c r="B106" s="3">
        <v>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13">
        <f t="shared" si="1"/>
        <v>1</v>
      </c>
    </row>
    <row r="107" spans="1:51" x14ac:dyDescent="0.25">
      <c r="A107" s="45">
        <v>104</v>
      </c>
      <c r="B107" s="3">
        <v>1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13">
        <f t="shared" si="1"/>
        <v>1</v>
      </c>
    </row>
    <row r="108" spans="1:51" x14ac:dyDescent="0.25">
      <c r="A108" s="45">
        <v>105</v>
      </c>
      <c r="B108" s="3">
        <v>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13">
        <f t="shared" si="1"/>
        <v>1</v>
      </c>
    </row>
    <row r="109" spans="1:51" x14ac:dyDescent="0.25">
      <c r="A109" s="45">
        <v>106</v>
      </c>
      <c r="B109" s="3">
        <v>1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13">
        <f t="shared" si="1"/>
        <v>1</v>
      </c>
    </row>
    <row r="110" spans="1:51" x14ac:dyDescent="0.25">
      <c r="A110" s="45">
        <v>107</v>
      </c>
      <c r="B110" s="3">
        <v>1</v>
      </c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13">
        <f t="shared" si="1"/>
        <v>1</v>
      </c>
    </row>
    <row r="111" spans="1:51" x14ac:dyDescent="0.25">
      <c r="A111" s="45">
        <v>108</v>
      </c>
      <c r="B111" s="3">
        <v>1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13">
        <f t="shared" si="1"/>
        <v>1</v>
      </c>
    </row>
    <row r="112" spans="1:51" x14ac:dyDescent="0.25">
      <c r="A112" s="45">
        <v>109</v>
      </c>
      <c r="B112" s="3">
        <v>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13">
        <f t="shared" si="1"/>
        <v>1</v>
      </c>
    </row>
    <row r="113" spans="1:51" x14ac:dyDescent="0.25">
      <c r="A113" s="45">
        <v>110</v>
      </c>
      <c r="B113" s="3">
        <v>1</v>
      </c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13">
        <f t="shared" si="1"/>
        <v>1</v>
      </c>
    </row>
    <row r="114" spans="1:51" x14ac:dyDescent="0.25">
      <c r="A114" s="45">
        <v>111</v>
      </c>
      <c r="B114" s="3">
        <v>1</v>
      </c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13">
        <f t="shared" si="1"/>
        <v>1</v>
      </c>
    </row>
    <row r="115" spans="1:51" x14ac:dyDescent="0.25">
      <c r="A115" s="45">
        <v>112</v>
      </c>
      <c r="B115" s="3">
        <v>1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13">
        <f t="shared" si="1"/>
        <v>1</v>
      </c>
    </row>
    <row r="116" spans="1:51" x14ac:dyDescent="0.25">
      <c r="A116" s="45">
        <v>113</v>
      </c>
      <c r="B116" s="3">
        <v>1</v>
      </c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13">
        <f t="shared" si="1"/>
        <v>1</v>
      </c>
    </row>
    <row r="117" spans="1:51" x14ac:dyDescent="0.25">
      <c r="A117" s="45">
        <v>114</v>
      </c>
      <c r="B117" s="3">
        <v>1</v>
      </c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13">
        <f t="shared" si="1"/>
        <v>1</v>
      </c>
    </row>
    <row r="118" spans="1:51" x14ac:dyDescent="0.25">
      <c r="A118" s="45">
        <v>115</v>
      </c>
      <c r="B118" s="3">
        <v>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13">
        <f t="shared" si="1"/>
        <v>1</v>
      </c>
    </row>
    <row r="119" spans="1:51" x14ac:dyDescent="0.25">
      <c r="A119" s="45">
        <v>116</v>
      </c>
      <c r="B119" s="3">
        <v>1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13">
        <f t="shared" si="1"/>
        <v>1</v>
      </c>
    </row>
    <row r="120" spans="1:51" x14ac:dyDescent="0.25">
      <c r="A120" s="45">
        <v>117</v>
      </c>
      <c r="B120" s="3">
        <v>1</v>
      </c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13">
        <f t="shared" si="1"/>
        <v>1</v>
      </c>
    </row>
    <row r="121" spans="1:51" x14ac:dyDescent="0.25">
      <c r="A121" s="45">
        <v>118</v>
      </c>
      <c r="B121" s="3">
        <v>1</v>
      </c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13">
        <f t="shared" si="1"/>
        <v>1</v>
      </c>
    </row>
    <row r="122" spans="1:51" x14ac:dyDescent="0.25">
      <c r="A122" s="45">
        <v>119</v>
      </c>
      <c r="B122" s="3">
        <v>1</v>
      </c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13">
        <f t="shared" si="1"/>
        <v>1</v>
      </c>
    </row>
    <row r="123" spans="1:51" x14ac:dyDescent="0.25">
      <c r="A123" s="45">
        <v>120</v>
      </c>
      <c r="B123" s="3">
        <v>1</v>
      </c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13">
        <f t="shared" si="1"/>
        <v>1</v>
      </c>
    </row>
    <row r="124" spans="1:51" x14ac:dyDescent="0.25">
      <c r="A124" s="45">
        <v>121</v>
      </c>
      <c r="B124" s="3">
        <v>1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13">
        <f t="shared" si="1"/>
        <v>1</v>
      </c>
    </row>
    <row r="125" spans="1:51" x14ac:dyDescent="0.25">
      <c r="A125" s="45">
        <v>122</v>
      </c>
      <c r="B125" s="3">
        <v>1</v>
      </c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13">
        <f t="shared" si="1"/>
        <v>1</v>
      </c>
    </row>
    <row r="126" spans="1:51" x14ac:dyDescent="0.25">
      <c r="A126" s="45">
        <v>123</v>
      </c>
      <c r="B126" s="3">
        <v>1</v>
      </c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13">
        <f t="shared" si="1"/>
        <v>1</v>
      </c>
    </row>
    <row r="127" spans="1:51" x14ac:dyDescent="0.25">
      <c r="A127" s="45">
        <v>124</v>
      </c>
      <c r="B127" s="3">
        <v>1</v>
      </c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13">
        <f t="shared" si="1"/>
        <v>1</v>
      </c>
    </row>
    <row r="128" spans="1:51" x14ac:dyDescent="0.25">
      <c r="A128" s="45">
        <v>125</v>
      </c>
      <c r="B128" s="3">
        <v>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13">
        <f t="shared" si="1"/>
        <v>1</v>
      </c>
    </row>
    <row r="129" spans="1:51" x14ac:dyDescent="0.25">
      <c r="A129" s="45">
        <v>126</v>
      </c>
      <c r="B129" s="3">
        <v>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13">
        <f t="shared" si="1"/>
        <v>1</v>
      </c>
    </row>
    <row r="130" spans="1:51" x14ac:dyDescent="0.25">
      <c r="A130" s="45">
        <v>127</v>
      </c>
      <c r="B130" s="3">
        <v>1</v>
      </c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13">
        <f t="shared" si="1"/>
        <v>1</v>
      </c>
    </row>
    <row r="131" spans="1:51" x14ac:dyDescent="0.25">
      <c r="A131" s="45">
        <v>128</v>
      </c>
      <c r="B131" s="3">
        <v>1</v>
      </c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13">
        <f t="shared" si="1"/>
        <v>1</v>
      </c>
    </row>
    <row r="132" spans="1:51" x14ac:dyDescent="0.25">
      <c r="A132" s="45">
        <v>129</v>
      </c>
      <c r="B132" s="3">
        <v>1</v>
      </c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13">
        <f t="shared" ref="AY132:AY195" si="2">SUM(B132:AX132)</f>
        <v>1</v>
      </c>
    </row>
    <row r="133" spans="1:51" x14ac:dyDescent="0.25">
      <c r="A133" s="45">
        <v>130</v>
      </c>
      <c r="B133" s="3">
        <v>1</v>
      </c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13">
        <f t="shared" si="2"/>
        <v>1</v>
      </c>
    </row>
    <row r="134" spans="1:51" x14ac:dyDescent="0.25">
      <c r="A134" s="45">
        <v>131</v>
      </c>
      <c r="B134" s="3">
        <v>1</v>
      </c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13">
        <f t="shared" si="2"/>
        <v>1</v>
      </c>
    </row>
    <row r="135" spans="1:51" x14ac:dyDescent="0.25">
      <c r="A135" s="45">
        <v>132</v>
      </c>
      <c r="B135" s="3">
        <v>1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13">
        <f t="shared" si="2"/>
        <v>1</v>
      </c>
    </row>
    <row r="136" spans="1:51" x14ac:dyDescent="0.25">
      <c r="A136" s="45">
        <v>133</v>
      </c>
      <c r="B136" s="3">
        <v>1</v>
      </c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13">
        <f t="shared" si="2"/>
        <v>1</v>
      </c>
    </row>
    <row r="137" spans="1:51" x14ac:dyDescent="0.25">
      <c r="A137" s="45">
        <v>134</v>
      </c>
      <c r="B137" s="3">
        <v>1</v>
      </c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13">
        <f t="shared" si="2"/>
        <v>1</v>
      </c>
    </row>
    <row r="138" spans="1:51" x14ac:dyDescent="0.25">
      <c r="A138" s="45">
        <v>135</v>
      </c>
      <c r="B138" s="3">
        <v>1</v>
      </c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13">
        <f t="shared" si="2"/>
        <v>1</v>
      </c>
    </row>
    <row r="139" spans="1:51" x14ac:dyDescent="0.25">
      <c r="A139" s="45">
        <v>136</v>
      </c>
      <c r="B139" s="3">
        <v>1</v>
      </c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13">
        <f t="shared" si="2"/>
        <v>1</v>
      </c>
    </row>
    <row r="140" spans="1:51" x14ac:dyDescent="0.25">
      <c r="A140" s="45">
        <v>137</v>
      </c>
      <c r="B140" s="3">
        <v>1</v>
      </c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13">
        <f t="shared" si="2"/>
        <v>1</v>
      </c>
    </row>
    <row r="141" spans="1:51" x14ac:dyDescent="0.25">
      <c r="A141" s="45">
        <v>138</v>
      </c>
      <c r="B141" s="3">
        <v>1</v>
      </c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13">
        <f t="shared" si="2"/>
        <v>1</v>
      </c>
    </row>
    <row r="142" spans="1:51" x14ac:dyDescent="0.25">
      <c r="A142" s="45">
        <v>139</v>
      </c>
      <c r="B142" s="3">
        <v>1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13">
        <f t="shared" si="2"/>
        <v>1</v>
      </c>
    </row>
    <row r="143" spans="1:51" x14ac:dyDescent="0.25">
      <c r="A143" s="45">
        <v>140</v>
      </c>
      <c r="B143" s="3">
        <v>1</v>
      </c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13">
        <f t="shared" si="2"/>
        <v>1</v>
      </c>
    </row>
    <row r="144" spans="1:51" x14ac:dyDescent="0.25">
      <c r="A144" s="45">
        <v>141</v>
      </c>
      <c r="B144" s="3">
        <v>1</v>
      </c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13">
        <f t="shared" si="2"/>
        <v>1</v>
      </c>
    </row>
    <row r="145" spans="1:51" x14ac:dyDescent="0.25">
      <c r="A145" s="45">
        <v>142</v>
      </c>
      <c r="B145" s="3">
        <v>1</v>
      </c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13">
        <f t="shared" si="2"/>
        <v>1</v>
      </c>
    </row>
    <row r="146" spans="1:51" x14ac:dyDescent="0.25">
      <c r="A146" s="45">
        <v>143</v>
      </c>
      <c r="B146" s="3">
        <v>1</v>
      </c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13">
        <f t="shared" si="2"/>
        <v>1</v>
      </c>
    </row>
    <row r="147" spans="1:51" x14ac:dyDescent="0.25">
      <c r="A147" s="45">
        <v>144</v>
      </c>
      <c r="B147" s="3">
        <v>1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13">
        <f t="shared" si="2"/>
        <v>1</v>
      </c>
    </row>
    <row r="148" spans="1:51" x14ac:dyDescent="0.25">
      <c r="A148" s="45">
        <v>145</v>
      </c>
      <c r="B148" s="3">
        <v>1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13">
        <f t="shared" si="2"/>
        <v>1</v>
      </c>
    </row>
    <row r="149" spans="1:51" x14ac:dyDescent="0.25">
      <c r="A149" s="45">
        <v>146</v>
      </c>
      <c r="B149" s="3">
        <v>1</v>
      </c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13">
        <f t="shared" si="2"/>
        <v>1</v>
      </c>
    </row>
    <row r="150" spans="1:51" x14ac:dyDescent="0.25">
      <c r="A150" s="45">
        <v>147</v>
      </c>
      <c r="B150" s="3">
        <v>1</v>
      </c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13">
        <f t="shared" si="2"/>
        <v>1</v>
      </c>
    </row>
    <row r="151" spans="1:51" x14ac:dyDescent="0.25">
      <c r="A151" s="45">
        <v>148</v>
      </c>
      <c r="B151" s="3">
        <v>1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13">
        <f t="shared" si="2"/>
        <v>1</v>
      </c>
    </row>
    <row r="152" spans="1:51" x14ac:dyDescent="0.25">
      <c r="A152" s="45">
        <v>149</v>
      </c>
      <c r="B152" s="3">
        <v>1</v>
      </c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13">
        <f t="shared" si="2"/>
        <v>1</v>
      </c>
    </row>
    <row r="153" spans="1:51" x14ac:dyDescent="0.25">
      <c r="A153" s="45">
        <v>150</v>
      </c>
      <c r="B153" s="3">
        <v>1</v>
      </c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13">
        <f t="shared" si="2"/>
        <v>1</v>
      </c>
    </row>
    <row r="154" spans="1:51" x14ac:dyDescent="0.25">
      <c r="A154" s="45">
        <v>151</v>
      </c>
      <c r="B154" s="3">
        <v>1</v>
      </c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13">
        <f t="shared" si="2"/>
        <v>1</v>
      </c>
    </row>
    <row r="155" spans="1:51" x14ac:dyDescent="0.25">
      <c r="A155" s="45">
        <v>152</v>
      </c>
      <c r="B155" s="3">
        <v>1</v>
      </c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13">
        <f t="shared" si="2"/>
        <v>1</v>
      </c>
    </row>
    <row r="156" spans="1:51" x14ac:dyDescent="0.25">
      <c r="A156" s="45">
        <v>153</v>
      </c>
      <c r="B156" s="3">
        <v>1</v>
      </c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13">
        <f t="shared" si="2"/>
        <v>1</v>
      </c>
    </row>
    <row r="157" spans="1:51" x14ac:dyDescent="0.25">
      <c r="A157" s="45">
        <v>154</v>
      </c>
      <c r="B157" s="3">
        <v>1</v>
      </c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13">
        <f t="shared" si="2"/>
        <v>1</v>
      </c>
    </row>
    <row r="158" spans="1:51" x14ac:dyDescent="0.25">
      <c r="A158" s="45">
        <v>155</v>
      </c>
      <c r="B158" s="3">
        <v>1</v>
      </c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13">
        <f t="shared" si="2"/>
        <v>1</v>
      </c>
    </row>
    <row r="159" spans="1:51" x14ac:dyDescent="0.25">
      <c r="A159" s="45">
        <v>156</v>
      </c>
      <c r="B159" s="3">
        <v>1</v>
      </c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13">
        <f t="shared" si="2"/>
        <v>1</v>
      </c>
    </row>
    <row r="160" spans="1:51" x14ac:dyDescent="0.25">
      <c r="A160" s="45">
        <v>157</v>
      </c>
      <c r="B160" s="3">
        <v>1</v>
      </c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13">
        <f t="shared" si="2"/>
        <v>1</v>
      </c>
    </row>
    <row r="161" spans="1:51" x14ac:dyDescent="0.25">
      <c r="A161" s="45">
        <v>158</v>
      </c>
      <c r="B161" s="3">
        <v>1</v>
      </c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13">
        <f t="shared" si="2"/>
        <v>1</v>
      </c>
    </row>
    <row r="162" spans="1:51" x14ac:dyDescent="0.25">
      <c r="A162" s="45">
        <v>159</v>
      </c>
      <c r="B162" s="3">
        <v>1</v>
      </c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13">
        <f t="shared" si="2"/>
        <v>1</v>
      </c>
    </row>
    <row r="163" spans="1:51" x14ac:dyDescent="0.25">
      <c r="A163" s="45">
        <v>160</v>
      </c>
      <c r="B163" s="3">
        <v>1</v>
      </c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13">
        <f t="shared" si="2"/>
        <v>1</v>
      </c>
    </row>
    <row r="164" spans="1:51" x14ac:dyDescent="0.25">
      <c r="A164" s="45">
        <v>161</v>
      </c>
      <c r="B164" s="3">
        <v>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13">
        <f t="shared" si="2"/>
        <v>1</v>
      </c>
    </row>
    <row r="165" spans="1:51" x14ac:dyDescent="0.25">
      <c r="A165" s="45">
        <v>162</v>
      </c>
      <c r="B165" s="3">
        <v>1</v>
      </c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13">
        <f t="shared" si="2"/>
        <v>1</v>
      </c>
    </row>
    <row r="166" spans="1:51" x14ac:dyDescent="0.25">
      <c r="A166" s="45">
        <v>163</v>
      </c>
      <c r="B166" s="3">
        <v>1</v>
      </c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13">
        <f t="shared" si="2"/>
        <v>1</v>
      </c>
    </row>
    <row r="167" spans="1:51" x14ac:dyDescent="0.25">
      <c r="A167" s="45">
        <v>164</v>
      </c>
      <c r="B167" s="3">
        <v>1</v>
      </c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13">
        <f t="shared" si="2"/>
        <v>1</v>
      </c>
    </row>
    <row r="168" spans="1:51" x14ac:dyDescent="0.25">
      <c r="A168" s="45">
        <v>165</v>
      </c>
      <c r="B168" s="3">
        <v>1</v>
      </c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13">
        <f t="shared" si="2"/>
        <v>1</v>
      </c>
    </row>
    <row r="169" spans="1:51" x14ac:dyDescent="0.25">
      <c r="A169" s="45">
        <v>166</v>
      </c>
      <c r="B169" s="3">
        <v>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13">
        <f t="shared" si="2"/>
        <v>1</v>
      </c>
    </row>
    <row r="170" spans="1:51" x14ac:dyDescent="0.25">
      <c r="A170" s="45">
        <v>167</v>
      </c>
      <c r="B170" s="3">
        <v>1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13">
        <f t="shared" si="2"/>
        <v>1</v>
      </c>
    </row>
    <row r="171" spans="1:51" x14ac:dyDescent="0.25">
      <c r="A171" s="45">
        <v>168</v>
      </c>
      <c r="B171" s="3">
        <v>1</v>
      </c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13">
        <f t="shared" si="2"/>
        <v>1</v>
      </c>
    </row>
    <row r="172" spans="1:51" x14ac:dyDescent="0.25">
      <c r="A172" s="45">
        <v>169</v>
      </c>
      <c r="B172" s="3">
        <v>1</v>
      </c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13">
        <f t="shared" si="2"/>
        <v>1</v>
      </c>
    </row>
    <row r="173" spans="1:51" x14ac:dyDescent="0.25">
      <c r="A173" s="45">
        <v>170</v>
      </c>
      <c r="B173" s="3">
        <v>1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13">
        <f t="shared" si="2"/>
        <v>1</v>
      </c>
    </row>
    <row r="174" spans="1:51" x14ac:dyDescent="0.25">
      <c r="A174" s="45">
        <v>171</v>
      </c>
      <c r="B174" s="3">
        <v>1</v>
      </c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13">
        <f t="shared" si="2"/>
        <v>1</v>
      </c>
    </row>
    <row r="175" spans="1:51" x14ac:dyDescent="0.25">
      <c r="A175" s="45">
        <v>172</v>
      </c>
      <c r="B175" s="3">
        <v>1</v>
      </c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13">
        <f t="shared" si="2"/>
        <v>1</v>
      </c>
    </row>
    <row r="176" spans="1:51" x14ac:dyDescent="0.25">
      <c r="A176" s="45">
        <v>173</v>
      </c>
      <c r="B176" s="3">
        <v>1</v>
      </c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13">
        <f t="shared" si="2"/>
        <v>1</v>
      </c>
    </row>
    <row r="177" spans="1:51" x14ac:dyDescent="0.25">
      <c r="A177" s="45">
        <v>174</v>
      </c>
      <c r="B177" s="3">
        <v>1</v>
      </c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13">
        <f t="shared" si="2"/>
        <v>1</v>
      </c>
    </row>
    <row r="178" spans="1:51" x14ac:dyDescent="0.25">
      <c r="A178" s="45">
        <v>175</v>
      </c>
      <c r="B178" s="3">
        <v>1</v>
      </c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13">
        <f t="shared" si="2"/>
        <v>1</v>
      </c>
    </row>
    <row r="179" spans="1:51" x14ac:dyDescent="0.25">
      <c r="A179" s="45">
        <v>176</v>
      </c>
      <c r="B179" s="3">
        <v>1</v>
      </c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13">
        <f t="shared" si="2"/>
        <v>1</v>
      </c>
    </row>
    <row r="180" spans="1:51" x14ac:dyDescent="0.25">
      <c r="A180" s="45">
        <v>177</v>
      </c>
      <c r="B180" s="3">
        <v>1</v>
      </c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13">
        <f t="shared" si="2"/>
        <v>1</v>
      </c>
    </row>
    <row r="181" spans="1:51" x14ac:dyDescent="0.25">
      <c r="A181" s="45">
        <v>178</v>
      </c>
      <c r="B181" s="3">
        <v>1</v>
      </c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13">
        <f t="shared" si="2"/>
        <v>1</v>
      </c>
    </row>
    <row r="182" spans="1:51" x14ac:dyDescent="0.25">
      <c r="A182" s="45">
        <v>179</v>
      </c>
      <c r="B182" s="3">
        <v>1</v>
      </c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13">
        <f t="shared" si="2"/>
        <v>1</v>
      </c>
    </row>
    <row r="183" spans="1:51" x14ac:dyDescent="0.25">
      <c r="A183" s="45">
        <v>180</v>
      </c>
      <c r="B183" s="3">
        <v>1</v>
      </c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13">
        <f t="shared" si="2"/>
        <v>1</v>
      </c>
    </row>
    <row r="184" spans="1:51" x14ac:dyDescent="0.25">
      <c r="A184" s="45">
        <v>181</v>
      </c>
      <c r="B184" s="3">
        <v>1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13">
        <f t="shared" si="2"/>
        <v>1</v>
      </c>
    </row>
    <row r="185" spans="1:51" x14ac:dyDescent="0.25">
      <c r="A185" s="45">
        <v>182</v>
      </c>
      <c r="B185" s="3">
        <v>1</v>
      </c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13">
        <f t="shared" si="2"/>
        <v>1</v>
      </c>
    </row>
    <row r="186" spans="1:51" x14ac:dyDescent="0.25">
      <c r="A186" s="45">
        <v>183</v>
      </c>
      <c r="B186" s="3">
        <v>1</v>
      </c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13">
        <f t="shared" si="2"/>
        <v>1</v>
      </c>
    </row>
    <row r="187" spans="1:51" x14ac:dyDescent="0.25">
      <c r="A187" s="45">
        <v>184</v>
      </c>
      <c r="B187" s="3">
        <v>1</v>
      </c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13">
        <f t="shared" si="2"/>
        <v>1</v>
      </c>
    </row>
    <row r="188" spans="1:51" x14ac:dyDescent="0.25">
      <c r="A188" s="45">
        <v>185</v>
      </c>
      <c r="B188" s="3">
        <v>1</v>
      </c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13">
        <f t="shared" si="2"/>
        <v>1</v>
      </c>
    </row>
    <row r="189" spans="1:51" x14ac:dyDescent="0.25">
      <c r="A189" s="45">
        <v>186</v>
      </c>
      <c r="B189" s="3">
        <v>1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13">
        <f t="shared" si="2"/>
        <v>1</v>
      </c>
    </row>
    <row r="190" spans="1:51" x14ac:dyDescent="0.25">
      <c r="A190" s="45">
        <v>187</v>
      </c>
      <c r="B190" s="3">
        <v>1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13">
        <f t="shared" si="2"/>
        <v>1</v>
      </c>
    </row>
    <row r="191" spans="1:51" x14ac:dyDescent="0.25">
      <c r="A191" s="45">
        <v>188</v>
      </c>
      <c r="B191" s="3">
        <v>1</v>
      </c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13">
        <f t="shared" si="2"/>
        <v>1</v>
      </c>
    </row>
    <row r="192" spans="1:51" x14ac:dyDescent="0.25">
      <c r="A192" s="45">
        <v>189</v>
      </c>
      <c r="B192" s="3">
        <v>1</v>
      </c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13">
        <f t="shared" si="2"/>
        <v>1</v>
      </c>
    </row>
    <row r="193" spans="1:51" x14ac:dyDescent="0.25">
      <c r="A193" s="45">
        <v>190</v>
      </c>
      <c r="B193" s="3">
        <v>1</v>
      </c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13">
        <f t="shared" si="2"/>
        <v>1</v>
      </c>
    </row>
    <row r="194" spans="1:51" x14ac:dyDescent="0.25">
      <c r="A194" s="45">
        <v>191</v>
      </c>
      <c r="B194" s="3">
        <v>1</v>
      </c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13">
        <f t="shared" si="2"/>
        <v>1</v>
      </c>
    </row>
    <row r="195" spans="1:51" x14ac:dyDescent="0.25">
      <c r="A195" s="45">
        <v>192</v>
      </c>
      <c r="B195" s="3">
        <v>1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13">
        <f t="shared" si="2"/>
        <v>1</v>
      </c>
    </row>
    <row r="196" spans="1:51" x14ac:dyDescent="0.25">
      <c r="A196" s="45">
        <v>193</v>
      </c>
      <c r="B196" s="3">
        <v>1</v>
      </c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13">
        <f t="shared" ref="AY196:AY223" si="3">SUM(B196:AX196)</f>
        <v>1</v>
      </c>
    </row>
    <row r="197" spans="1:51" x14ac:dyDescent="0.25">
      <c r="A197" s="45">
        <v>194</v>
      </c>
      <c r="B197" s="3">
        <v>1</v>
      </c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13">
        <f t="shared" si="3"/>
        <v>1</v>
      </c>
    </row>
    <row r="198" spans="1:51" x14ac:dyDescent="0.25">
      <c r="A198" s="45">
        <v>195</v>
      </c>
      <c r="B198" s="3">
        <v>1</v>
      </c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13">
        <f t="shared" si="3"/>
        <v>1</v>
      </c>
    </row>
    <row r="199" spans="1:51" x14ac:dyDescent="0.25">
      <c r="A199" s="45">
        <v>196</v>
      </c>
      <c r="B199" s="3">
        <v>1</v>
      </c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13">
        <f t="shared" si="3"/>
        <v>1</v>
      </c>
    </row>
    <row r="200" spans="1:51" x14ac:dyDescent="0.25">
      <c r="A200" s="45">
        <v>197</v>
      </c>
      <c r="B200" s="3">
        <v>1</v>
      </c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13">
        <f t="shared" si="3"/>
        <v>1</v>
      </c>
    </row>
    <row r="201" spans="1:51" x14ac:dyDescent="0.25">
      <c r="A201" s="45">
        <v>198</v>
      </c>
      <c r="B201" s="3">
        <v>1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13">
        <f t="shared" si="3"/>
        <v>1</v>
      </c>
    </row>
    <row r="202" spans="1:51" x14ac:dyDescent="0.25">
      <c r="A202" s="45">
        <v>199</v>
      </c>
      <c r="B202" s="3">
        <v>1</v>
      </c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13">
        <f t="shared" si="3"/>
        <v>1</v>
      </c>
    </row>
    <row r="203" spans="1:51" x14ac:dyDescent="0.25">
      <c r="A203" s="45">
        <v>200</v>
      </c>
      <c r="B203" s="3">
        <v>1</v>
      </c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13">
        <f t="shared" si="3"/>
        <v>1</v>
      </c>
    </row>
    <row r="204" spans="1:51" x14ac:dyDescent="0.25">
      <c r="A204" s="45">
        <v>201</v>
      </c>
      <c r="B204" s="3">
        <v>1</v>
      </c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13">
        <f t="shared" si="3"/>
        <v>1</v>
      </c>
    </row>
    <row r="205" spans="1:51" x14ac:dyDescent="0.25">
      <c r="A205" s="45">
        <v>202</v>
      </c>
      <c r="B205" s="3">
        <v>1</v>
      </c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13">
        <f t="shared" si="3"/>
        <v>1</v>
      </c>
    </row>
    <row r="206" spans="1:51" x14ac:dyDescent="0.25">
      <c r="A206" s="45">
        <v>203</v>
      </c>
      <c r="B206" s="3">
        <v>1</v>
      </c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13">
        <f t="shared" si="3"/>
        <v>1</v>
      </c>
    </row>
    <row r="207" spans="1:51" x14ac:dyDescent="0.25">
      <c r="A207" s="45">
        <v>204</v>
      </c>
      <c r="B207" s="3">
        <v>1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13">
        <f t="shared" si="3"/>
        <v>1</v>
      </c>
    </row>
    <row r="208" spans="1:51" x14ac:dyDescent="0.25">
      <c r="A208" s="45">
        <v>205</v>
      </c>
      <c r="B208" s="3">
        <v>1</v>
      </c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13">
        <f t="shared" si="3"/>
        <v>1</v>
      </c>
    </row>
    <row r="209" spans="1:51" x14ac:dyDescent="0.25">
      <c r="A209" s="45">
        <v>206</v>
      </c>
      <c r="B209" s="3">
        <v>1</v>
      </c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13">
        <f t="shared" si="3"/>
        <v>1</v>
      </c>
    </row>
    <row r="210" spans="1:51" x14ac:dyDescent="0.25">
      <c r="A210" s="45">
        <v>207</v>
      </c>
      <c r="B210" s="3">
        <v>1</v>
      </c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13">
        <f t="shared" si="3"/>
        <v>1</v>
      </c>
    </row>
    <row r="211" spans="1:51" x14ac:dyDescent="0.25">
      <c r="A211" s="45">
        <v>208</v>
      </c>
      <c r="B211" s="3">
        <v>1</v>
      </c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13">
        <f t="shared" si="3"/>
        <v>1</v>
      </c>
    </row>
    <row r="212" spans="1:51" x14ac:dyDescent="0.25">
      <c r="A212" s="45">
        <v>209</v>
      </c>
      <c r="B212" s="3">
        <v>1</v>
      </c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13">
        <f t="shared" si="3"/>
        <v>1</v>
      </c>
    </row>
    <row r="213" spans="1:51" x14ac:dyDescent="0.25">
      <c r="A213" s="45">
        <v>210</v>
      </c>
      <c r="B213" s="3">
        <v>1</v>
      </c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13">
        <f t="shared" si="3"/>
        <v>1</v>
      </c>
    </row>
    <row r="214" spans="1:51" x14ac:dyDescent="0.25">
      <c r="A214" s="45">
        <v>211</v>
      </c>
      <c r="B214" s="3">
        <v>1</v>
      </c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13">
        <f t="shared" si="3"/>
        <v>1</v>
      </c>
    </row>
    <row r="215" spans="1:51" x14ac:dyDescent="0.25">
      <c r="A215" s="45">
        <v>212</v>
      </c>
      <c r="B215" s="3">
        <v>1</v>
      </c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13">
        <f t="shared" si="3"/>
        <v>1</v>
      </c>
    </row>
    <row r="216" spans="1:51" x14ac:dyDescent="0.25">
      <c r="A216" s="45">
        <v>213</v>
      </c>
      <c r="B216" s="3">
        <v>1</v>
      </c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13">
        <f t="shared" si="3"/>
        <v>1</v>
      </c>
    </row>
    <row r="217" spans="1:51" x14ac:dyDescent="0.25">
      <c r="A217" s="45">
        <v>214</v>
      </c>
      <c r="B217" s="3">
        <v>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13">
        <f t="shared" si="3"/>
        <v>1</v>
      </c>
    </row>
    <row r="218" spans="1:51" x14ac:dyDescent="0.25">
      <c r="A218" s="45">
        <v>215</v>
      </c>
      <c r="B218" s="3">
        <v>1</v>
      </c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13">
        <f t="shared" si="3"/>
        <v>1</v>
      </c>
    </row>
    <row r="219" spans="1:51" x14ac:dyDescent="0.25">
      <c r="A219" s="45">
        <v>216</v>
      </c>
      <c r="B219" s="3">
        <v>1</v>
      </c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13">
        <f t="shared" si="3"/>
        <v>1</v>
      </c>
    </row>
    <row r="220" spans="1:51" x14ac:dyDescent="0.25">
      <c r="A220" s="45">
        <v>217</v>
      </c>
      <c r="B220" s="3">
        <v>1</v>
      </c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13">
        <f t="shared" si="3"/>
        <v>1</v>
      </c>
    </row>
    <row r="221" spans="1:51" x14ac:dyDescent="0.25">
      <c r="A221" s="45">
        <v>218</v>
      </c>
      <c r="B221" s="3">
        <v>1</v>
      </c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13">
        <f t="shared" si="3"/>
        <v>1</v>
      </c>
    </row>
    <row r="222" spans="1:51" x14ac:dyDescent="0.25">
      <c r="A222" s="45">
        <v>219</v>
      </c>
      <c r="B222" s="3">
        <v>1</v>
      </c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13">
        <f t="shared" si="3"/>
        <v>1</v>
      </c>
    </row>
    <row r="223" spans="1:51" x14ac:dyDescent="0.25">
      <c r="A223" s="45">
        <v>220</v>
      </c>
      <c r="B223" s="3">
        <v>1</v>
      </c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13">
        <f t="shared" si="3"/>
        <v>1</v>
      </c>
    </row>
    <row r="224" spans="1:51" x14ac:dyDescent="0.25">
      <c r="A224" s="45">
        <v>221</v>
      </c>
      <c r="B224" s="3">
        <v>1</v>
      </c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13">
        <f t="shared" ref="AY224:AY252" si="4">SUM(B224:AX224)</f>
        <v>1</v>
      </c>
    </row>
    <row r="225" spans="1:51" x14ac:dyDescent="0.25">
      <c r="A225" s="45">
        <v>222</v>
      </c>
      <c r="B225" s="3">
        <v>1</v>
      </c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13">
        <f t="shared" si="4"/>
        <v>1</v>
      </c>
    </row>
    <row r="226" spans="1:51" x14ac:dyDescent="0.25">
      <c r="A226" s="45">
        <v>223</v>
      </c>
      <c r="B226" s="3">
        <v>1</v>
      </c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13">
        <f t="shared" si="4"/>
        <v>1</v>
      </c>
    </row>
    <row r="227" spans="1:51" x14ac:dyDescent="0.25">
      <c r="A227" s="45">
        <v>224</v>
      </c>
      <c r="B227" s="3">
        <v>1</v>
      </c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13">
        <f t="shared" si="4"/>
        <v>1</v>
      </c>
    </row>
    <row r="228" spans="1:51" x14ac:dyDescent="0.25">
      <c r="A228" s="45">
        <v>225</v>
      </c>
      <c r="B228" s="3">
        <v>1</v>
      </c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13">
        <f t="shared" si="4"/>
        <v>1</v>
      </c>
    </row>
    <row r="229" spans="1:51" x14ac:dyDescent="0.25">
      <c r="A229" s="45">
        <v>226</v>
      </c>
      <c r="B229" s="3">
        <v>1</v>
      </c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13">
        <f t="shared" si="4"/>
        <v>1</v>
      </c>
    </row>
    <row r="230" spans="1:51" x14ac:dyDescent="0.25">
      <c r="A230" s="45">
        <v>227</v>
      </c>
      <c r="B230" s="3">
        <v>1</v>
      </c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13">
        <f t="shared" si="4"/>
        <v>1</v>
      </c>
    </row>
    <row r="231" spans="1:51" x14ac:dyDescent="0.25">
      <c r="A231" s="45">
        <v>228</v>
      </c>
      <c r="B231" s="3">
        <v>1</v>
      </c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13">
        <f t="shared" si="4"/>
        <v>1</v>
      </c>
    </row>
    <row r="232" spans="1:51" x14ac:dyDescent="0.25">
      <c r="A232" s="45">
        <v>229</v>
      </c>
      <c r="B232" s="3">
        <v>1</v>
      </c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13">
        <f t="shared" si="4"/>
        <v>1</v>
      </c>
    </row>
    <row r="233" spans="1:51" x14ac:dyDescent="0.25">
      <c r="A233" s="45">
        <v>230</v>
      </c>
      <c r="B233" s="3">
        <v>1</v>
      </c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13">
        <f t="shared" si="4"/>
        <v>1</v>
      </c>
    </row>
    <row r="234" spans="1:51" x14ac:dyDescent="0.25">
      <c r="A234" s="45">
        <v>231</v>
      </c>
      <c r="B234" s="3">
        <v>1</v>
      </c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13">
        <f t="shared" si="4"/>
        <v>1</v>
      </c>
    </row>
    <row r="235" spans="1:51" x14ac:dyDescent="0.25">
      <c r="A235" s="45">
        <v>232</v>
      </c>
      <c r="B235" s="3">
        <v>1</v>
      </c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13">
        <f t="shared" si="4"/>
        <v>1</v>
      </c>
    </row>
    <row r="236" spans="1:51" x14ac:dyDescent="0.25">
      <c r="A236" s="45">
        <v>233</v>
      </c>
      <c r="B236" s="3">
        <v>1</v>
      </c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13">
        <f t="shared" si="4"/>
        <v>1</v>
      </c>
    </row>
    <row r="237" spans="1:51" x14ac:dyDescent="0.25">
      <c r="A237" s="45">
        <v>234</v>
      </c>
      <c r="B237" s="3">
        <v>1</v>
      </c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13">
        <f t="shared" si="4"/>
        <v>1</v>
      </c>
    </row>
    <row r="238" spans="1:51" x14ac:dyDescent="0.25">
      <c r="A238" s="45">
        <v>235</v>
      </c>
      <c r="B238" s="3">
        <v>1</v>
      </c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13">
        <f t="shared" si="4"/>
        <v>1</v>
      </c>
    </row>
    <row r="239" spans="1:51" x14ac:dyDescent="0.25">
      <c r="A239" s="45">
        <v>236</v>
      </c>
      <c r="B239" s="3">
        <v>1</v>
      </c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13">
        <f t="shared" si="4"/>
        <v>1</v>
      </c>
    </row>
    <row r="240" spans="1:51" x14ac:dyDescent="0.25">
      <c r="A240" s="45">
        <v>237</v>
      </c>
      <c r="B240" s="3">
        <v>1</v>
      </c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13">
        <f t="shared" si="4"/>
        <v>1</v>
      </c>
    </row>
    <row r="241" spans="1:51" x14ac:dyDescent="0.25">
      <c r="A241" s="45">
        <v>238</v>
      </c>
      <c r="B241" s="3">
        <v>1</v>
      </c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13">
        <f t="shared" si="4"/>
        <v>1</v>
      </c>
    </row>
    <row r="242" spans="1:51" x14ac:dyDescent="0.25">
      <c r="A242" s="45">
        <v>239</v>
      </c>
      <c r="B242" s="3">
        <v>1</v>
      </c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13">
        <f t="shared" si="4"/>
        <v>1</v>
      </c>
    </row>
    <row r="243" spans="1:51" x14ac:dyDescent="0.25">
      <c r="A243" s="45">
        <v>240</v>
      </c>
      <c r="B243" s="3">
        <v>1</v>
      </c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13">
        <f t="shared" si="4"/>
        <v>1</v>
      </c>
    </row>
    <row r="244" spans="1:51" x14ac:dyDescent="0.25">
      <c r="A244" s="45">
        <v>241</v>
      </c>
      <c r="B244" s="3">
        <v>1</v>
      </c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13">
        <f t="shared" si="4"/>
        <v>1</v>
      </c>
    </row>
    <row r="245" spans="1:51" x14ac:dyDescent="0.25">
      <c r="A245" s="45">
        <v>242</v>
      </c>
      <c r="B245" s="3">
        <v>1</v>
      </c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13">
        <f t="shared" si="4"/>
        <v>1</v>
      </c>
    </row>
    <row r="246" spans="1:51" x14ac:dyDescent="0.25">
      <c r="A246" s="45">
        <v>243</v>
      </c>
      <c r="B246" s="3">
        <v>1</v>
      </c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13">
        <f t="shared" si="4"/>
        <v>1</v>
      </c>
    </row>
    <row r="247" spans="1:51" x14ac:dyDescent="0.25">
      <c r="A247" s="45">
        <v>244</v>
      </c>
      <c r="B247" s="3">
        <v>1</v>
      </c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13">
        <f t="shared" si="4"/>
        <v>1</v>
      </c>
    </row>
    <row r="248" spans="1:51" x14ac:dyDescent="0.25">
      <c r="A248" s="45">
        <v>245</v>
      </c>
      <c r="B248" s="3">
        <v>1</v>
      </c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13">
        <f t="shared" si="4"/>
        <v>1</v>
      </c>
    </row>
    <row r="249" spans="1:51" x14ac:dyDescent="0.25">
      <c r="A249" s="45">
        <v>246</v>
      </c>
      <c r="B249" s="3">
        <v>1</v>
      </c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13">
        <f t="shared" si="4"/>
        <v>1</v>
      </c>
    </row>
    <row r="250" spans="1:51" x14ac:dyDescent="0.25">
      <c r="A250" s="45">
        <v>247</v>
      </c>
      <c r="B250" s="3">
        <v>1</v>
      </c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13">
        <f t="shared" si="4"/>
        <v>1</v>
      </c>
    </row>
    <row r="251" spans="1:51" x14ac:dyDescent="0.25">
      <c r="A251" s="45">
        <v>248</v>
      </c>
      <c r="B251" s="3">
        <v>1</v>
      </c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13">
        <f t="shared" si="4"/>
        <v>1</v>
      </c>
    </row>
    <row r="252" spans="1:51" x14ac:dyDescent="0.25">
      <c r="A252" s="45">
        <v>249</v>
      </c>
      <c r="B252" s="3">
        <v>1</v>
      </c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13">
        <f t="shared" si="4"/>
        <v>1</v>
      </c>
    </row>
    <row r="253" spans="1:51" x14ac:dyDescent="0.25">
      <c r="A253" s="45">
        <v>250</v>
      </c>
      <c r="B253" s="3">
        <v>1</v>
      </c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13">
        <f t="shared" ref="AY253" si="5">SUM(B253:AX253)</f>
        <v>1</v>
      </c>
    </row>
  </sheetData>
  <mergeCells count="9">
    <mergeCell ref="BC1:BD2"/>
    <mergeCell ref="AD1:AJ1"/>
    <mergeCell ref="AK1:AQ1"/>
    <mergeCell ref="AR1:AX1"/>
    <mergeCell ref="B1:H1"/>
    <mergeCell ref="I1:O1"/>
    <mergeCell ref="P1:V1"/>
    <mergeCell ref="W1:AC1"/>
    <mergeCell ref="AY1:AY2"/>
  </mergeCells>
  <conditionalFormatting sqref="B4:AX253">
    <cfRule type="cellIs" dxfId="35" priority="8" operator="lessThan">
      <formula>0</formula>
    </cfRule>
  </conditionalFormatting>
  <conditionalFormatting sqref="D4:D253 F4:F253 H4:H253 J4:J253 L4:L253 N4:N253 P4:P253 R4:R253 T4:T253 V4:V253 X4:X253 Z4:Z253 AB4:AB253 AD4:AD253 AF4:AF253 AH4:AH253 AJ4:AJ253 AL4:AL253 AN4:AN253 AP4:AP253 AR4:AR253 AT4:AT253 AV4:AV253 AX4:AX253 B4:B253">
    <cfRule type="cellIs" dxfId="34" priority="7" operator="lessThan">
      <formula>1</formula>
    </cfRule>
  </conditionalFormatting>
  <conditionalFormatting sqref="C4:C253 E4:E253 G4:G253 I4:I253 K4:K253 M4:M253 O4:O253 Q4:Q253 S4:S253 U4:U253 W4:W253 Y4:Y253 AA4:AA253 AC4:AC253 AE4:AE253 AG4:AG253 AI4:AI253 AK4:AK253 AM4:AM253 AO4:AO253 AQ4:AQ253 AS4:AS253 AU4:AU253 AW4:AW253">
    <cfRule type="cellIs" dxfId="33" priority="6" operator="lessThan">
      <formula>1</formula>
    </cfRule>
  </conditionalFormatting>
  <conditionalFormatting sqref="D4:D253">
    <cfRule type="cellIs" dxfId="32" priority="5" operator="lessThan">
      <formula>1</formula>
    </cfRule>
  </conditionalFormatting>
  <conditionalFormatting sqref="E4:E253">
    <cfRule type="cellIs" dxfId="31" priority="4" operator="lessThan">
      <formula>1</formula>
    </cfRule>
  </conditionalFormatting>
  <conditionalFormatting sqref="F4:H253">
    <cfRule type="cellIs" dxfId="30" priority="3" operator="lessThan">
      <formula>1</formula>
    </cfRule>
  </conditionalFormatting>
  <conditionalFormatting sqref="I4:AU253">
    <cfRule type="cellIs" dxfId="29" priority="2" operator="lessThan">
      <formula>1</formula>
    </cfRule>
  </conditionalFormatting>
  <conditionalFormatting sqref="AV4:AX253">
    <cfRule type="cellIs" dxfId="28" priority="1" operator="lessThan">
      <formula>1</formula>
    </cfRule>
  </conditionalFormatting>
  <dataValidations count="1">
    <dataValidation type="date" operator="greaterThan" allowBlank="1" showInputMessage="1" showErrorMessage="1" errorTitle="Invalid Date" error="Please enter a valid date" sqref="B3:AX3" xr:uid="{964B041C-7D18-48FF-936B-1FA5BA6593CC}">
      <formula1>29221</formula1>
    </dataValidation>
  </dataValidations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_Dag_Loners_Ure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1026">
              <controlPr defaultSize="0" print="0" autoFill="0" autoPict="0" macro="[0]!Clear_Pebble_Day_Worker_Hours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5645C-31A7-419F-92E8-FA9DCF99565B}">
  <sheetPr codeName="Sheet6"/>
  <dimension ref="A1:G13"/>
  <sheetViews>
    <sheetView zoomScale="85" zoomScaleNormal="85" workbookViewId="0">
      <selection activeCell="G2" sqref="G2"/>
    </sheetView>
  </sheetViews>
  <sheetFormatPr defaultColWidth="20.5703125" defaultRowHeight="15" x14ac:dyDescent="0.25"/>
  <cols>
    <col min="1" max="16384" width="20.5703125" style="1"/>
  </cols>
  <sheetData>
    <row r="1" spans="1:7" ht="21" customHeight="1" x14ac:dyDescent="0.25">
      <c r="A1" s="13" t="s">
        <v>60</v>
      </c>
      <c r="B1" s="13" t="s">
        <v>78</v>
      </c>
      <c r="C1" s="14" t="s">
        <v>62</v>
      </c>
      <c r="D1" s="14" t="s">
        <v>65</v>
      </c>
      <c r="E1" s="20" t="s">
        <v>89</v>
      </c>
      <c r="F1" s="14" t="s">
        <v>79</v>
      </c>
      <c r="G1" s="14" t="s">
        <v>80</v>
      </c>
    </row>
    <row r="2" spans="1:7" x14ac:dyDescent="0.25">
      <c r="A2" s="1" t="s">
        <v>1</v>
      </c>
      <c r="B2" s="6" t="s">
        <v>84</v>
      </c>
      <c r="C2" s="7" t="s">
        <v>82</v>
      </c>
      <c r="D2" s="1" t="s">
        <v>18</v>
      </c>
      <c r="E2" s="28" t="s">
        <v>87</v>
      </c>
      <c r="F2" s="29">
        <v>23.19</v>
      </c>
      <c r="G2" s="29">
        <v>176</v>
      </c>
    </row>
    <row r="3" spans="1:7" x14ac:dyDescent="0.25">
      <c r="A3" s="1" t="s">
        <v>25</v>
      </c>
      <c r="B3" s="6" t="s">
        <v>83</v>
      </c>
      <c r="C3" s="7" t="s">
        <v>2</v>
      </c>
      <c r="D3" s="1" t="s">
        <v>16</v>
      </c>
      <c r="E3" s="12" t="s">
        <v>88</v>
      </c>
    </row>
    <row r="4" spans="1:7" x14ac:dyDescent="0.25">
      <c r="A4" s="1" t="s">
        <v>26</v>
      </c>
      <c r="C4" s="7" t="s">
        <v>96</v>
      </c>
      <c r="D4" s="1" t="s">
        <v>12</v>
      </c>
    </row>
    <row r="5" spans="1:7" x14ac:dyDescent="0.25">
      <c r="D5" s="1" t="s">
        <v>10</v>
      </c>
    </row>
    <row r="6" spans="1:7" x14ac:dyDescent="0.25">
      <c r="D6" s="1" t="s">
        <v>14</v>
      </c>
    </row>
    <row r="7" spans="1:7" x14ac:dyDescent="0.25">
      <c r="D7" s="1" t="s">
        <v>11</v>
      </c>
    </row>
    <row r="8" spans="1:7" x14ac:dyDescent="0.25">
      <c r="D8" s="1" t="s">
        <v>19</v>
      </c>
    </row>
    <row r="9" spans="1:7" x14ac:dyDescent="0.25">
      <c r="D9" s="1" t="s">
        <v>9</v>
      </c>
    </row>
    <row r="10" spans="1:7" x14ac:dyDescent="0.25">
      <c r="D10" s="1" t="s">
        <v>15</v>
      </c>
    </row>
    <row r="11" spans="1:7" x14ac:dyDescent="0.25">
      <c r="D11" s="1" t="s">
        <v>17</v>
      </c>
    </row>
    <row r="12" spans="1:7" x14ac:dyDescent="0.25">
      <c r="D12" s="1" t="s">
        <v>20</v>
      </c>
    </row>
    <row r="13" spans="1:7" x14ac:dyDescent="0.25">
      <c r="D13" s="1" t="s">
        <v>13</v>
      </c>
    </row>
  </sheetData>
  <dataConsolidate/>
  <conditionalFormatting sqref="B2:B3">
    <cfRule type="cellIs" dxfId="27" priority="1" operator="equal">
      <formula>0</formula>
    </cfRule>
  </conditionalFormatting>
  <pageMargins left="0.7" right="0.7" top="0.75" bottom="0.75" header="0.3" footer="0.3"/>
  <pageSetup orientation="landscape" horizontalDpi="0" verticalDpi="0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E8CAF-E398-4598-8007-907862B6BACC}">
  <sheetPr codeName="Sheet9"/>
  <dimension ref="A1:V52"/>
  <sheetViews>
    <sheetView zoomScale="85" zoomScaleNormal="85" workbookViewId="0">
      <selection activeCell="A3" sqref="A3:B52"/>
    </sheetView>
  </sheetViews>
  <sheetFormatPr defaultColWidth="9.140625" defaultRowHeight="15" x14ac:dyDescent="0.25"/>
  <cols>
    <col min="1" max="1" width="9.140625" style="1"/>
    <col min="2" max="2" width="15.140625" style="1" bestFit="1" customWidth="1"/>
    <col min="3" max="4" width="12.7109375" style="1" customWidth="1"/>
    <col min="5" max="5" width="15.28515625" style="1" bestFit="1" customWidth="1"/>
    <col min="6" max="7" width="12.7109375" style="1" customWidth="1"/>
    <col min="8" max="8" width="14" style="1" bestFit="1" customWidth="1"/>
    <col min="9" max="20" width="12.7109375" style="1" customWidth="1"/>
    <col min="21" max="16384" width="9.140625" style="1"/>
  </cols>
  <sheetData>
    <row r="1" spans="1:22" ht="15" customHeight="1" x14ac:dyDescent="0.25">
      <c r="A1" s="59"/>
      <c r="B1" s="59"/>
      <c r="C1" s="81" t="s">
        <v>41</v>
      </c>
      <c r="D1" s="81"/>
      <c r="E1" s="81"/>
      <c r="F1" s="81" t="s">
        <v>42</v>
      </c>
      <c r="G1" s="81"/>
      <c r="H1" s="81"/>
      <c r="I1" s="81" t="s">
        <v>43</v>
      </c>
      <c r="J1" s="81"/>
      <c r="K1" s="81"/>
      <c r="L1" s="81" t="s">
        <v>44</v>
      </c>
      <c r="M1" s="81"/>
      <c r="N1" s="81"/>
      <c r="O1" s="81" t="s">
        <v>45</v>
      </c>
      <c r="P1" s="81"/>
      <c r="Q1" s="81"/>
      <c r="R1" s="81" t="s">
        <v>46</v>
      </c>
      <c r="S1" s="81"/>
      <c r="T1" s="81"/>
      <c r="U1" s="5"/>
      <c r="V1" s="5"/>
    </row>
    <row r="2" spans="1:22" ht="15" customHeight="1" x14ac:dyDescent="0.25">
      <c r="A2" s="41" t="s">
        <v>8</v>
      </c>
      <c r="B2" s="42" t="s">
        <v>50</v>
      </c>
      <c r="C2" s="42" t="s">
        <v>47</v>
      </c>
      <c r="D2" s="42" t="s">
        <v>48</v>
      </c>
      <c r="E2" s="42" t="s">
        <v>49</v>
      </c>
      <c r="F2" s="13" t="s">
        <v>48</v>
      </c>
      <c r="G2" s="13" t="s">
        <v>47</v>
      </c>
      <c r="H2" s="13" t="s">
        <v>49</v>
      </c>
      <c r="I2" s="13" t="s">
        <v>48</v>
      </c>
      <c r="J2" s="13" t="s">
        <v>47</v>
      </c>
      <c r="K2" s="13" t="s">
        <v>49</v>
      </c>
      <c r="L2" s="13" t="s">
        <v>48</v>
      </c>
      <c r="M2" s="13" t="s">
        <v>47</v>
      </c>
      <c r="N2" s="13" t="s">
        <v>49</v>
      </c>
      <c r="O2" s="13" t="s">
        <v>48</v>
      </c>
      <c r="P2" s="13" t="s">
        <v>47</v>
      </c>
      <c r="Q2" s="13" t="s">
        <v>49</v>
      </c>
      <c r="R2" s="13" t="s">
        <v>48</v>
      </c>
      <c r="S2" s="13" t="s">
        <v>47</v>
      </c>
      <c r="T2" s="13" t="s">
        <v>49</v>
      </c>
      <c r="U2" s="3"/>
      <c r="V2" s="3"/>
    </row>
    <row r="3" spans="1:22" x14ac:dyDescent="0.25">
      <c r="A3" s="46">
        <f>Employees!A9</f>
        <v>1</v>
      </c>
      <c r="B3" s="45" t="str">
        <f>Employees!D9</f>
        <v>Dian1</v>
      </c>
      <c r="C3" s="10"/>
      <c r="D3" s="9"/>
      <c r="E3" s="9"/>
      <c r="F3" s="9"/>
      <c r="G3" s="10"/>
      <c r="H3" s="9"/>
      <c r="I3" s="9"/>
      <c r="J3" s="9"/>
      <c r="K3" s="9"/>
      <c r="L3" s="9"/>
      <c r="M3" s="9"/>
      <c r="N3" s="9"/>
      <c r="O3" s="9"/>
      <c r="P3" s="9"/>
      <c r="Q3" s="2"/>
      <c r="R3" s="2"/>
      <c r="S3" s="2"/>
      <c r="T3" s="2"/>
    </row>
    <row r="4" spans="1:22" x14ac:dyDescent="0.25">
      <c r="A4" s="46">
        <f>Employees!A10</f>
        <v>2</v>
      </c>
      <c r="B4" s="45" t="str">
        <f>Employees!D10</f>
        <v>Dian2</v>
      </c>
      <c r="C4" s="10"/>
      <c r="D4" s="9"/>
      <c r="E4" s="9"/>
      <c r="F4" s="9"/>
      <c r="G4" s="10"/>
      <c r="H4" s="9"/>
      <c r="I4" s="9"/>
      <c r="J4" s="9"/>
      <c r="K4" s="9"/>
      <c r="L4" s="9"/>
      <c r="M4" s="9"/>
      <c r="N4" s="9"/>
      <c r="O4" s="9"/>
      <c r="P4" s="9"/>
      <c r="Q4" s="2"/>
      <c r="R4" s="2"/>
      <c r="S4" s="2"/>
      <c r="T4" s="2"/>
    </row>
    <row r="5" spans="1:22" x14ac:dyDescent="0.25">
      <c r="A5" s="46">
        <f>Employees!A11</f>
        <v>3</v>
      </c>
      <c r="B5" s="45" t="str">
        <f>Employees!D11</f>
        <v>Dian3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2"/>
      <c r="R5" s="2"/>
      <c r="S5" s="2"/>
      <c r="T5" s="2"/>
    </row>
    <row r="6" spans="1:22" x14ac:dyDescent="0.25">
      <c r="A6" s="46">
        <f>Employees!A12</f>
        <v>4</v>
      </c>
      <c r="B6" s="45">
        <f>Employees!D12</f>
        <v>0</v>
      </c>
      <c r="C6" s="10"/>
      <c r="D6" s="9"/>
      <c r="E6" s="9"/>
      <c r="F6" s="9"/>
      <c r="G6" s="10"/>
      <c r="H6" s="9"/>
      <c r="I6" s="9"/>
      <c r="J6" s="9"/>
      <c r="K6" s="9"/>
      <c r="L6" s="9"/>
      <c r="M6" s="9"/>
      <c r="N6" s="9"/>
      <c r="O6" s="9"/>
      <c r="P6" s="9"/>
      <c r="Q6" s="2"/>
      <c r="R6" s="2"/>
      <c r="S6" s="2"/>
      <c r="T6" s="2"/>
    </row>
    <row r="7" spans="1:22" x14ac:dyDescent="0.25">
      <c r="A7" s="46">
        <f>Employees!A13</f>
        <v>5</v>
      </c>
      <c r="B7" s="45">
        <f>Employees!D13</f>
        <v>0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R7" s="2"/>
      <c r="S7" s="2"/>
      <c r="T7" s="2"/>
    </row>
    <row r="8" spans="1:22" x14ac:dyDescent="0.25">
      <c r="A8" s="46">
        <f>Employees!A14</f>
        <v>6</v>
      </c>
      <c r="B8" s="45">
        <f>Employees!D14</f>
        <v>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R8" s="2"/>
      <c r="S8" s="2"/>
      <c r="T8" s="2"/>
    </row>
    <row r="9" spans="1:22" x14ac:dyDescent="0.25">
      <c r="A9" s="46">
        <f>Employees!A15</f>
        <v>7</v>
      </c>
      <c r="B9" s="45">
        <f>Employees!D15</f>
        <v>0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"/>
      <c r="R9" s="2"/>
      <c r="S9" s="2"/>
      <c r="T9" s="2"/>
    </row>
    <row r="10" spans="1:22" x14ac:dyDescent="0.25">
      <c r="A10" s="46">
        <f>Employees!A16</f>
        <v>8</v>
      </c>
      <c r="B10" s="45">
        <f>Employees!D16</f>
        <v>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R10" s="2"/>
      <c r="S10" s="2"/>
      <c r="T10" s="2"/>
    </row>
    <row r="11" spans="1:22" x14ac:dyDescent="0.25">
      <c r="A11" s="46">
        <f>Employees!A17</f>
        <v>9</v>
      </c>
      <c r="B11" s="45">
        <f>Employees!D17</f>
        <v>0</v>
      </c>
      <c r="C11" s="10"/>
      <c r="D11" s="9"/>
      <c r="E11" s="9"/>
      <c r="F11" s="9"/>
      <c r="G11" s="10"/>
      <c r="H11" s="9"/>
      <c r="I11" s="9"/>
      <c r="J11" s="9"/>
      <c r="K11" s="9"/>
      <c r="L11" s="9"/>
      <c r="M11" s="9"/>
      <c r="N11" s="9"/>
      <c r="O11" s="9"/>
      <c r="P11" s="9"/>
      <c r="Q11" s="2"/>
      <c r="R11" s="2"/>
      <c r="S11" s="2"/>
      <c r="T11" s="2"/>
    </row>
    <row r="12" spans="1:22" x14ac:dyDescent="0.25">
      <c r="A12" s="46">
        <f>Employees!A18</f>
        <v>10</v>
      </c>
      <c r="B12" s="45">
        <f>Employees!D18</f>
        <v>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"/>
      <c r="R12" s="2"/>
      <c r="S12" s="2"/>
      <c r="T12" s="2"/>
    </row>
    <row r="13" spans="1:22" x14ac:dyDescent="0.25">
      <c r="A13" s="46">
        <f>Employees!A19</f>
        <v>11</v>
      </c>
      <c r="B13" s="45">
        <f>Employees!D19</f>
        <v>0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R13" s="2"/>
      <c r="S13" s="2"/>
      <c r="T13" s="2"/>
    </row>
    <row r="14" spans="1:22" x14ac:dyDescent="0.25">
      <c r="A14" s="46">
        <f>Employees!A20</f>
        <v>12</v>
      </c>
      <c r="B14" s="45">
        <f>Employees!D20</f>
        <v>0</v>
      </c>
      <c r="C14" s="10"/>
      <c r="D14" s="9"/>
      <c r="E14" s="9"/>
      <c r="F14" s="9"/>
      <c r="G14" s="10"/>
      <c r="H14" s="9"/>
      <c r="I14" s="9"/>
      <c r="J14" s="9"/>
      <c r="K14" s="9"/>
      <c r="L14" s="9"/>
      <c r="M14" s="9"/>
      <c r="N14" s="9"/>
      <c r="O14" s="9"/>
      <c r="P14" s="9"/>
      <c r="Q14" s="2"/>
      <c r="R14" s="2"/>
      <c r="S14" s="2"/>
      <c r="T14" s="2"/>
    </row>
    <row r="15" spans="1:22" x14ac:dyDescent="0.25">
      <c r="A15" s="46">
        <f>Employees!A21</f>
        <v>13</v>
      </c>
      <c r="B15" s="45">
        <f>Employees!D21</f>
        <v>0</v>
      </c>
      <c r="C15" s="10"/>
      <c r="D15" s="9"/>
      <c r="E15" s="9"/>
      <c r="F15" s="9"/>
      <c r="G15" s="10"/>
      <c r="H15" s="9"/>
      <c r="I15" s="9"/>
      <c r="J15" s="9"/>
      <c r="K15" s="9"/>
      <c r="L15" s="9"/>
      <c r="M15" s="9"/>
      <c r="N15" s="9"/>
      <c r="O15" s="9"/>
      <c r="P15" s="9"/>
      <c r="Q15" s="2"/>
      <c r="R15" s="2"/>
      <c r="S15" s="2"/>
      <c r="T15" s="2"/>
    </row>
    <row r="16" spans="1:22" x14ac:dyDescent="0.25">
      <c r="A16" s="46">
        <f>Employees!A22</f>
        <v>14</v>
      </c>
      <c r="B16" s="45">
        <f>Employees!D22</f>
        <v>0</v>
      </c>
      <c r="C16" s="10"/>
      <c r="D16" s="9"/>
      <c r="E16" s="9"/>
      <c r="F16" s="9"/>
      <c r="G16" s="10"/>
      <c r="H16" s="9"/>
      <c r="I16" s="9"/>
      <c r="J16" s="9"/>
      <c r="K16" s="9"/>
      <c r="L16" s="9"/>
      <c r="M16" s="9"/>
      <c r="N16" s="9"/>
      <c r="O16" s="9"/>
      <c r="P16" s="9"/>
      <c r="Q16" s="2"/>
      <c r="R16" s="2"/>
      <c r="S16" s="2"/>
      <c r="T16" s="2"/>
    </row>
    <row r="17" spans="1:20" x14ac:dyDescent="0.25">
      <c r="A17" s="46">
        <f>Employees!A23</f>
        <v>15</v>
      </c>
      <c r="B17" s="45">
        <f>Employees!D23</f>
        <v>0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R17" s="2"/>
      <c r="S17" s="2"/>
      <c r="T17" s="2"/>
    </row>
    <row r="18" spans="1:20" x14ac:dyDescent="0.25">
      <c r="A18" s="46">
        <f>Employees!A24</f>
        <v>16</v>
      </c>
      <c r="B18" s="45">
        <f>Employees!D24</f>
        <v>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R18" s="2"/>
      <c r="S18" s="2"/>
      <c r="T18" s="2"/>
    </row>
    <row r="19" spans="1:20" x14ac:dyDescent="0.25">
      <c r="A19" s="46">
        <f>Employees!A25</f>
        <v>17</v>
      </c>
      <c r="B19" s="45">
        <f>Employees!D25</f>
        <v>0</v>
      </c>
      <c r="C19" s="10"/>
      <c r="D19" s="9"/>
      <c r="E19" s="9"/>
      <c r="F19" s="9"/>
      <c r="G19" s="10"/>
      <c r="H19" s="9"/>
      <c r="I19" s="9"/>
      <c r="J19" s="9"/>
      <c r="K19" s="9"/>
      <c r="L19" s="9"/>
      <c r="M19" s="9"/>
      <c r="N19" s="9"/>
      <c r="O19" s="9"/>
      <c r="P19" s="9"/>
      <c r="Q19" s="2"/>
      <c r="R19" s="2"/>
      <c r="S19" s="2"/>
      <c r="T19" s="2"/>
    </row>
    <row r="20" spans="1:20" x14ac:dyDescent="0.25">
      <c r="A20" s="46">
        <f>Employees!A26</f>
        <v>18</v>
      </c>
      <c r="B20" s="45">
        <f>Employees!D26</f>
        <v>0</v>
      </c>
      <c r="C20" s="10"/>
      <c r="D20" s="9"/>
      <c r="E20" s="9"/>
      <c r="F20" s="9"/>
      <c r="G20" s="10"/>
      <c r="H20" s="9"/>
      <c r="I20" s="9"/>
      <c r="J20" s="9"/>
      <c r="K20" s="9"/>
      <c r="L20" s="9"/>
      <c r="M20" s="9"/>
      <c r="N20" s="9"/>
      <c r="O20" s="9"/>
      <c r="P20" s="9"/>
      <c r="Q20" s="2"/>
      <c r="R20" s="2"/>
      <c r="S20" s="2"/>
      <c r="T20" s="2"/>
    </row>
    <row r="21" spans="1:20" x14ac:dyDescent="0.25">
      <c r="A21" s="46">
        <f>Employees!A27</f>
        <v>19</v>
      </c>
      <c r="B21" s="45">
        <f>Employees!D27</f>
        <v>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R21" s="2"/>
      <c r="S21" s="2"/>
      <c r="T21" s="2"/>
    </row>
    <row r="22" spans="1:20" x14ac:dyDescent="0.25">
      <c r="A22" s="46">
        <f>Employees!A28</f>
        <v>20</v>
      </c>
      <c r="B22" s="45">
        <f>Employees!D28</f>
        <v>0</v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R22" s="2"/>
      <c r="S22" s="2"/>
      <c r="T22" s="2"/>
    </row>
    <row r="23" spans="1:20" x14ac:dyDescent="0.25">
      <c r="A23" s="46">
        <f>Employees!A29</f>
        <v>21</v>
      </c>
      <c r="B23" s="45">
        <f>Employees!D29</f>
        <v>0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"/>
      <c r="R23" s="2"/>
      <c r="S23" s="2"/>
      <c r="T23" s="2"/>
    </row>
    <row r="24" spans="1:20" x14ac:dyDescent="0.25">
      <c r="A24" s="46">
        <f>Employees!A30</f>
        <v>22</v>
      </c>
      <c r="B24" s="45">
        <f>Employees!D30</f>
        <v>0</v>
      </c>
      <c r="C24" s="10"/>
      <c r="D24" s="9"/>
      <c r="E24" s="9"/>
      <c r="F24" s="9"/>
      <c r="G24" s="10"/>
      <c r="H24" s="9"/>
      <c r="I24" s="9"/>
      <c r="J24" s="9"/>
      <c r="K24" s="9"/>
      <c r="L24" s="9"/>
      <c r="M24" s="9"/>
      <c r="N24" s="9"/>
      <c r="O24" s="9"/>
      <c r="P24" s="9"/>
      <c r="Q24" s="2"/>
      <c r="R24" s="2"/>
      <c r="S24" s="2"/>
      <c r="T24" s="2"/>
    </row>
    <row r="25" spans="1:20" x14ac:dyDescent="0.25">
      <c r="A25" s="46">
        <f>Employees!A31</f>
        <v>23</v>
      </c>
      <c r="B25" s="45">
        <f>Employees!D31</f>
        <v>0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"/>
      <c r="R25" s="2"/>
      <c r="S25" s="2"/>
      <c r="T25" s="2"/>
    </row>
    <row r="26" spans="1:20" x14ac:dyDescent="0.25">
      <c r="A26" s="46">
        <f>Employees!A32</f>
        <v>24</v>
      </c>
      <c r="B26" s="45">
        <f>Employees!D32</f>
        <v>0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"/>
      <c r="R26" s="2"/>
      <c r="S26" s="2"/>
      <c r="T26" s="2"/>
    </row>
    <row r="27" spans="1:20" x14ac:dyDescent="0.25">
      <c r="A27" s="46">
        <f>Employees!A33</f>
        <v>25</v>
      </c>
      <c r="B27" s="45">
        <f>Employees!D33</f>
        <v>0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"/>
      <c r="R27" s="2"/>
      <c r="S27" s="2"/>
      <c r="T27" s="2"/>
    </row>
    <row r="28" spans="1:20" x14ac:dyDescent="0.25">
      <c r="A28" s="46">
        <f>Employees!A34</f>
        <v>26</v>
      </c>
      <c r="B28" s="45">
        <f>Employees!D34</f>
        <v>0</v>
      </c>
      <c r="C28" s="10"/>
      <c r="D28" s="9"/>
      <c r="E28" s="9"/>
      <c r="F28" s="9"/>
      <c r="G28" s="10"/>
      <c r="H28" s="9"/>
      <c r="I28" s="9"/>
      <c r="J28" s="9"/>
      <c r="K28" s="9"/>
      <c r="L28" s="9"/>
      <c r="M28" s="9"/>
      <c r="N28" s="9"/>
      <c r="O28" s="9"/>
      <c r="P28" s="9"/>
      <c r="Q28" s="2"/>
      <c r="R28" s="2"/>
      <c r="S28" s="2"/>
      <c r="T28" s="2"/>
    </row>
    <row r="29" spans="1:20" x14ac:dyDescent="0.25">
      <c r="A29" s="46">
        <f>Employees!A35</f>
        <v>27</v>
      </c>
      <c r="B29" s="45">
        <f>Employees!D35</f>
        <v>0</v>
      </c>
      <c r="C29" s="10"/>
      <c r="D29" s="9"/>
      <c r="E29" s="9"/>
      <c r="F29" s="9"/>
      <c r="G29" s="10"/>
      <c r="H29" s="9"/>
      <c r="I29" s="9"/>
      <c r="J29" s="9"/>
      <c r="K29" s="9"/>
      <c r="L29" s="9"/>
      <c r="M29" s="9"/>
      <c r="N29" s="9"/>
      <c r="O29" s="9"/>
      <c r="P29" s="9"/>
      <c r="Q29" s="2"/>
      <c r="R29" s="2"/>
      <c r="S29" s="2"/>
      <c r="T29" s="2"/>
    </row>
    <row r="30" spans="1:20" x14ac:dyDescent="0.25">
      <c r="A30" s="46">
        <f>Employees!A36</f>
        <v>28</v>
      </c>
      <c r="B30" s="45">
        <f>Employees!D36</f>
        <v>0</v>
      </c>
      <c r="C30" s="10"/>
      <c r="D30" s="9"/>
      <c r="E30" s="9"/>
      <c r="F30" s="9"/>
      <c r="G30" s="10"/>
      <c r="H30" s="9"/>
      <c r="I30" s="9"/>
      <c r="J30" s="9"/>
      <c r="K30" s="9"/>
      <c r="L30" s="9"/>
      <c r="M30" s="9"/>
      <c r="N30" s="9"/>
      <c r="O30" s="9"/>
      <c r="P30" s="9"/>
      <c r="Q30" s="2"/>
      <c r="R30" s="2"/>
      <c r="S30" s="2"/>
      <c r="T30" s="2"/>
    </row>
    <row r="31" spans="1:20" x14ac:dyDescent="0.25">
      <c r="A31" s="46">
        <f>Employees!A37</f>
        <v>29</v>
      </c>
      <c r="B31" s="45">
        <f>Employees!D37</f>
        <v>0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"/>
      <c r="R31" s="2"/>
      <c r="S31" s="2"/>
      <c r="T31" s="2"/>
    </row>
    <row r="32" spans="1:20" x14ac:dyDescent="0.25">
      <c r="A32" s="46">
        <f>Employees!A38</f>
        <v>30</v>
      </c>
      <c r="B32" s="45">
        <f>Employees!D38</f>
        <v>0</v>
      </c>
      <c r="C32" s="10"/>
      <c r="D32" s="9"/>
      <c r="E32" s="9"/>
      <c r="F32" s="9"/>
      <c r="G32" s="10"/>
      <c r="H32" s="9"/>
      <c r="I32" s="9"/>
      <c r="J32" s="9"/>
      <c r="K32" s="9"/>
      <c r="L32" s="9"/>
      <c r="M32" s="9"/>
      <c r="N32" s="9"/>
      <c r="O32" s="9"/>
      <c r="P32" s="9"/>
      <c r="Q32" s="2"/>
      <c r="R32" s="2"/>
      <c r="S32" s="2"/>
      <c r="T32" s="2"/>
    </row>
    <row r="33" spans="1:20" x14ac:dyDescent="0.25">
      <c r="A33" s="46">
        <f>Employees!A39</f>
        <v>31</v>
      </c>
      <c r="B33" s="45">
        <f>Employees!D39</f>
        <v>0</v>
      </c>
      <c r="C33" s="10"/>
      <c r="D33" s="9"/>
      <c r="E33" s="9"/>
      <c r="F33" s="9"/>
      <c r="G33" s="10"/>
      <c r="H33" s="9"/>
      <c r="I33" s="9"/>
      <c r="J33" s="9"/>
      <c r="K33" s="9"/>
      <c r="L33" s="9"/>
      <c r="M33" s="9"/>
      <c r="N33" s="9"/>
      <c r="O33" s="9"/>
      <c r="P33" s="9"/>
      <c r="Q33" s="2"/>
      <c r="R33" s="2"/>
      <c r="S33" s="2"/>
      <c r="T33" s="2"/>
    </row>
    <row r="34" spans="1:20" x14ac:dyDescent="0.25">
      <c r="A34" s="46">
        <f>Employees!A40</f>
        <v>32</v>
      </c>
      <c r="B34" s="45">
        <f>Employees!D40</f>
        <v>0</v>
      </c>
      <c r="C34" s="10"/>
      <c r="D34" s="9"/>
      <c r="E34" s="9"/>
      <c r="F34" s="9"/>
      <c r="G34" s="10"/>
      <c r="H34" s="9"/>
      <c r="I34" s="9"/>
      <c r="J34" s="9"/>
      <c r="K34" s="9"/>
      <c r="L34" s="9"/>
      <c r="M34" s="9"/>
      <c r="N34" s="9"/>
      <c r="O34" s="9"/>
      <c r="P34" s="9"/>
      <c r="Q34" s="2"/>
      <c r="R34" s="2"/>
      <c r="S34" s="2"/>
      <c r="T34" s="2"/>
    </row>
    <row r="35" spans="1:20" x14ac:dyDescent="0.25">
      <c r="A35" s="46">
        <f>Employees!A41</f>
        <v>33</v>
      </c>
      <c r="B35" s="45">
        <f>Employees!D41</f>
        <v>0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2"/>
      <c r="R35" s="2"/>
      <c r="S35" s="2"/>
      <c r="T35" s="2"/>
    </row>
    <row r="36" spans="1:20" x14ac:dyDescent="0.25">
      <c r="A36" s="46">
        <f>Employees!A42</f>
        <v>34</v>
      </c>
      <c r="B36" s="45">
        <f>Employees!D42</f>
        <v>0</v>
      </c>
      <c r="C36" s="10"/>
      <c r="D36" s="9"/>
      <c r="E36" s="9"/>
      <c r="F36" s="9"/>
      <c r="G36" s="10"/>
      <c r="H36" s="9"/>
      <c r="I36" s="9"/>
      <c r="J36" s="9"/>
      <c r="K36" s="9"/>
      <c r="L36" s="9"/>
      <c r="M36" s="9"/>
      <c r="N36" s="9"/>
      <c r="O36" s="9"/>
      <c r="P36" s="9"/>
      <c r="Q36" s="2"/>
      <c r="R36" s="2"/>
      <c r="S36" s="2"/>
      <c r="T36" s="2"/>
    </row>
    <row r="37" spans="1:20" x14ac:dyDescent="0.25">
      <c r="A37" s="46">
        <f>Employees!A43</f>
        <v>35</v>
      </c>
      <c r="B37" s="45">
        <f>Employees!D43</f>
        <v>0</v>
      </c>
      <c r="C37" s="10"/>
      <c r="D37" s="9"/>
      <c r="E37" s="9"/>
      <c r="F37" s="9"/>
      <c r="G37" s="10"/>
      <c r="H37" s="9"/>
      <c r="I37" s="9"/>
      <c r="J37" s="9"/>
      <c r="K37" s="9"/>
      <c r="L37" s="9"/>
      <c r="M37" s="9"/>
      <c r="N37" s="9"/>
      <c r="O37" s="9"/>
      <c r="P37" s="9"/>
      <c r="Q37" s="2"/>
      <c r="R37" s="2"/>
      <c r="S37" s="2"/>
      <c r="T37" s="2"/>
    </row>
    <row r="38" spans="1:20" x14ac:dyDescent="0.25">
      <c r="A38" s="46">
        <f>Employees!A44</f>
        <v>36</v>
      </c>
      <c r="B38" s="45">
        <f>Employees!D44</f>
        <v>0</v>
      </c>
      <c r="C38" s="10"/>
      <c r="D38" s="9"/>
      <c r="E38" s="9"/>
      <c r="F38" s="9"/>
      <c r="G38" s="10"/>
      <c r="H38" s="9"/>
      <c r="I38" s="9"/>
      <c r="J38" s="9"/>
      <c r="K38" s="9"/>
      <c r="L38" s="9"/>
      <c r="M38" s="9"/>
      <c r="N38" s="9"/>
      <c r="O38" s="9"/>
      <c r="P38" s="9"/>
      <c r="Q38" s="2"/>
      <c r="R38" s="2"/>
      <c r="S38" s="2"/>
      <c r="T38" s="2"/>
    </row>
    <row r="39" spans="1:20" x14ac:dyDescent="0.25">
      <c r="A39" s="46">
        <f>Employees!A45</f>
        <v>37</v>
      </c>
      <c r="B39" s="45">
        <f>Employees!D45</f>
        <v>0</v>
      </c>
      <c r="C39" s="10"/>
      <c r="D39" s="9"/>
      <c r="E39" s="9"/>
      <c r="F39" s="9"/>
      <c r="G39" s="10"/>
      <c r="H39" s="9"/>
      <c r="I39" s="9"/>
      <c r="J39" s="9"/>
      <c r="K39" s="9"/>
      <c r="L39" s="9"/>
      <c r="M39" s="9"/>
      <c r="N39" s="9"/>
      <c r="O39" s="9"/>
      <c r="P39" s="9"/>
      <c r="Q39" s="2"/>
      <c r="R39" s="2"/>
      <c r="S39" s="2"/>
      <c r="T39" s="2"/>
    </row>
    <row r="40" spans="1:20" x14ac:dyDescent="0.25">
      <c r="A40" s="46">
        <f>Employees!A46</f>
        <v>38</v>
      </c>
      <c r="B40" s="45">
        <f>Employees!D46</f>
        <v>0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2"/>
      <c r="R40" s="2"/>
      <c r="S40" s="2"/>
      <c r="T40" s="2"/>
    </row>
    <row r="41" spans="1:20" x14ac:dyDescent="0.25">
      <c r="A41" s="46">
        <f>Employees!A47</f>
        <v>39</v>
      </c>
      <c r="B41" s="45">
        <f>Employees!D47</f>
        <v>0</v>
      </c>
      <c r="C41" s="10"/>
      <c r="D41" s="9"/>
      <c r="E41" s="9"/>
      <c r="F41" s="9"/>
      <c r="G41" s="10"/>
      <c r="H41" s="9"/>
      <c r="I41" s="9"/>
      <c r="J41" s="9"/>
      <c r="K41" s="9"/>
      <c r="L41" s="9"/>
      <c r="M41" s="9"/>
      <c r="N41" s="9"/>
      <c r="O41" s="9"/>
      <c r="P41" s="9"/>
      <c r="Q41" s="2"/>
      <c r="R41" s="2"/>
      <c r="S41" s="2"/>
      <c r="T41" s="2"/>
    </row>
    <row r="42" spans="1:20" x14ac:dyDescent="0.25">
      <c r="A42" s="46">
        <f>Employees!A48</f>
        <v>40</v>
      </c>
      <c r="B42" s="45">
        <f>Employees!D48</f>
        <v>0</v>
      </c>
      <c r="C42" s="10"/>
      <c r="D42" s="9"/>
      <c r="E42" s="9"/>
      <c r="F42" s="9"/>
      <c r="G42" s="10"/>
      <c r="H42" s="9"/>
      <c r="I42" s="9"/>
      <c r="J42" s="9"/>
      <c r="K42" s="9"/>
      <c r="L42" s="9"/>
      <c r="M42" s="9"/>
      <c r="N42" s="9"/>
      <c r="O42" s="9"/>
      <c r="P42" s="9"/>
      <c r="Q42" s="2"/>
      <c r="R42" s="2"/>
      <c r="S42" s="2"/>
      <c r="T42" s="2"/>
    </row>
    <row r="43" spans="1:20" x14ac:dyDescent="0.25">
      <c r="A43" s="46">
        <f>Employees!A49</f>
        <v>41</v>
      </c>
      <c r="B43" s="45">
        <f>Employees!D49</f>
        <v>0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2"/>
      <c r="R43" s="2"/>
      <c r="S43" s="2"/>
      <c r="T43" s="2"/>
    </row>
    <row r="44" spans="1:20" x14ac:dyDescent="0.25">
      <c r="A44" s="46">
        <f>Employees!A50</f>
        <v>42</v>
      </c>
      <c r="B44" s="45">
        <f>Employees!D50</f>
        <v>0</v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2"/>
      <c r="R44" s="2"/>
      <c r="S44" s="2"/>
      <c r="T44" s="2"/>
    </row>
    <row r="45" spans="1:20" x14ac:dyDescent="0.25">
      <c r="A45" s="46">
        <f>Employees!A51</f>
        <v>43</v>
      </c>
      <c r="B45" s="45">
        <f>Employees!D51</f>
        <v>0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2"/>
      <c r="R45" s="2"/>
      <c r="S45" s="2"/>
      <c r="T45" s="2"/>
    </row>
    <row r="46" spans="1:20" x14ac:dyDescent="0.25">
      <c r="A46" s="46">
        <f>Employees!A52</f>
        <v>44</v>
      </c>
      <c r="B46" s="45">
        <f>Employees!D52</f>
        <v>0</v>
      </c>
      <c r="C46" s="10"/>
      <c r="D46" s="9"/>
      <c r="E46" s="9"/>
      <c r="F46" s="9"/>
      <c r="G46" s="10"/>
      <c r="H46" s="9"/>
      <c r="I46" s="9"/>
      <c r="J46" s="9"/>
      <c r="K46" s="9"/>
      <c r="L46" s="9"/>
      <c r="M46" s="9"/>
      <c r="N46" s="9"/>
      <c r="O46" s="9"/>
      <c r="P46" s="9"/>
      <c r="Q46" s="2"/>
      <c r="R46" s="2"/>
      <c r="S46" s="2"/>
      <c r="T46" s="2"/>
    </row>
    <row r="47" spans="1:20" x14ac:dyDescent="0.25">
      <c r="A47" s="46">
        <f>Employees!A53</f>
        <v>45</v>
      </c>
      <c r="B47" s="45">
        <f>Employees!D53</f>
        <v>0</v>
      </c>
      <c r="C47" s="10"/>
      <c r="D47" s="9"/>
      <c r="E47" s="9"/>
      <c r="F47" s="9"/>
      <c r="G47" s="10"/>
      <c r="H47" s="9"/>
      <c r="I47" s="9"/>
      <c r="J47" s="9"/>
      <c r="K47" s="9"/>
      <c r="L47" s="9"/>
      <c r="M47" s="9"/>
      <c r="N47" s="9"/>
      <c r="O47" s="9"/>
      <c r="P47" s="9"/>
      <c r="Q47" s="2"/>
      <c r="R47" s="2"/>
      <c r="S47" s="2"/>
      <c r="T47" s="2"/>
    </row>
    <row r="48" spans="1:20" x14ac:dyDescent="0.25">
      <c r="A48" s="46">
        <f>Employees!A54</f>
        <v>46</v>
      </c>
      <c r="B48" s="45">
        <f>Employees!D54</f>
        <v>0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2"/>
      <c r="R48" s="2"/>
      <c r="S48" s="2"/>
      <c r="T48" s="2"/>
    </row>
    <row r="49" spans="1:20" x14ac:dyDescent="0.25">
      <c r="A49" s="46">
        <f>Employees!A55</f>
        <v>47</v>
      </c>
      <c r="B49" s="45">
        <f>Employees!D55</f>
        <v>0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2"/>
      <c r="R49" s="2"/>
      <c r="S49" s="2"/>
      <c r="T49" s="2"/>
    </row>
    <row r="50" spans="1:20" x14ac:dyDescent="0.25">
      <c r="A50" s="46">
        <f>Employees!A56</f>
        <v>48</v>
      </c>
      <c r="B50" s="45">
        <f>Employees!D56</f>
        <v>0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2"/>
      <c r="R50" s="2"/>
      <c r="S50" s="2"/>
      <c r="T50" s="2"/>
    </row>
    <row r="51" spans="1:20" x14ac:dyDescent="0.25">
      <c r="A51" s="46">
        <f>Employees!A57</f>
        <v>49</v>
      </c>
      <c r="B51" s="45">
        <f>Employees!D57</f>
        <v>0</v>
      </c>
      <c r="C51" s="10"/>
      <c r="D51" s="9"/>
      <c r="E51" s="9"/>
      <c r="F51" s="9"/>
      <c r="G51" s="10"/>
      <c r="H51" s="9"/>
      <c r="I51" s="9"/>
      <c r="J51" s="9"/>
      <c r="K51" s="9"/>
      <c r="L51" s="9"/>
      <c r="M51" s="9"/>
      <c r="N51" s="9"/>
      <c r="O51" s="9"/>
      <c r="P51" s="9"/>
      <c r="Q51" s="2"/>
      <c r="R51" s="2"/>
      <c r="S51" s="2"/>
      <c r="T51" s="2"/>
    </row>
    <row r="52" spans="1:20" x14ac:dyDescent="0.25">
      <c r="A52" s="46">
        <f>Employees!A58</f>
        <v>50</v>
      </c>
      <c r="B52" s="46">
        <f>Employees!D58</f>
        <v>0</v>
      </c>
    </row>
  </sheetData>
  <mergeCells count="7">
    <mergeCell ref="A1:B1"/>
    <mergeCell ref="R1:T1"/>
    <mergeCell ref="C1:E1"/>
    <mergeCell ref="F1:H1"/>
    <mergeCell ref="I1:K1"/>
    <mergeCell ref="L1:N1"/>
    <mergeCell ref="O1:Q1"/>
  </mergeCells>
  <phoneticPr fontId="6" type="noConversion"/>
  <pageMargins left="0.7" right="0.7" top="0.75" bottom="0.75" header="0.3" footer="0.3"/>
  <pageSetup orientation="landscape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BC0ABD-D678-4500-94D2-4D02281C09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Employees</vt:lpstr>
      <vt:lpstr>Employee hours</vt:lpstr>
      <vt:lpstr>Employee debt</vt:lpstr>
      <vt:lpstr>Day workers</vt:lpstr>
      <vt:lpstr>Day worker hours</vt:lpstr>
      <vt:lpstr>Pebble day workers</vt:lpstr>
      <vt:lpstr>Pebble day worker hours</vt:lpstr>
      <vt:lpstr>Data</vt:lpstr>
      <vt:lpstr>Employee vaccines</vt:lpstr>
      <vt:lpstr>Employer_list_NR</vt:lpstr>
      <vt:lpstr>Job_designation_list_NR</vt:lpstr>
      <vt:lpstr>Month_list_NR</vt:lpstr>
      <vt:lpstr>Nationality_list_NR</vt:lpstr>
      <vt:lpstr>Payment_type_NR</vt:lpstr>
      <vt:lpstr>Employees!Print_Area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 van Schalkwyk</dc:creator>
  <cp:lastModifiedBy>Dian van Schalkwyk</cp:lastModifiedBy>
  <cp:lastPrinted>2022-08-16T16:51:08Z</cp:lastPrinted>
  <dcterms:created xsi:type="dcterms:W3CDTF">2019-08-29T21:50:28Z</dcterms:created>
  <dcterms:modified xsi:type="dcterms:W3CDTF">2022-11-19T14:05:03Z</dcterms:modified>
</cp:coreProperties>
</file>